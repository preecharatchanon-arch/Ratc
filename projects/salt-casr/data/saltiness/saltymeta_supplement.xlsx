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e06dcba93341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3ed96e1abb640d0"/>
    <x:sheet xmlns:r="http://schemas.openxmlformats.org/officeDocument/2006/relationships" name="Table S1_Positive" sheetId="2" r:id="R81b9d17176fb430c"/>
    <x:sheet xmlns:r="http://schemas.openxmlformats.org/officeDocument/2006/relationships" name="Table S2_Negative" sheetId="3" r:id="R3e09a0134b414823"/>
    <x:sheet xmlns:r="http://schemas.openxmlformats.org/officeDocument/2006/relationships" name="Expansion Audit" sheetId="4" r:id="Rd31a589aca534f78"/>
    <x:sheet xmlns:r="http://schemas.openxmlformats.org/officeDocument/2006/relationships" name="Data Dictionary" sheetId="5" r:id="Rdb0174281cca4b37"/>
    <x:sheet xmlns:r="http://schemas.openxmlformats.org/officeDocument/2006/relationships" name="QC Summary" sheetId="6" r:id="Rd845756e3b5842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7">
    <x:font>
      <x:sz val="11"/>
      <x:name val="Carlito"/>
    </x:font>
    <x:font>
      <x:b/>
      <x:sz val="14"/>
      <x:color rgb="FFFFFFFF"/>
      <x:name val="Carlito"/>
    </x:font>
    <x:font>
      <x:i/>
      <x:sz val="10"/>
      <x:color rgb="FF18323B"/>
      <x:name val="Carlito"/>
    </x:font>
    <x:font>
      <x:b/>
      <x:sz val="11"/>
      <x:color rgb="FFFFFFFF"/>
      <x:name val="Carlito"/>
    </x:font>
    <x:font>
      <x:sz val="9"/>
      <x:name val="Carlito"/>
    </x:font>
    <x:font>
      <x:sz val="9"/>
      <x:color rgb="FF18323B"/>
      <x:name val="Carlito"/>
    </x:font>
    <x:font>
      <x:i/>
      <x:sz val="9"/>
      <x:color rgb="FF18323B"/>
      <x:name val="Carlito"/>
    </x:font>
    <x:font>
      <x:b/>
      <x:sz val="16"/>
      <x:color rgb="FFFFFFFF"/>
      <x:name val="Carlito"/>
    </x:font>
    <x:font>
      <x:b/>
      <x:sz val="11"/>
      <x:color rgb="FF18323B"/>
      <x:name val="Carlito"/>
    </x:font>
    <x:font>
      <x:i/>
      <x:sz val="11"/>
      <x:color rgb="FF18323B"/>
      <x:name val="Carlito"/>
    </x:font>
    <x:font>
      <x:b/>
      <x:sz val="15"/>
      <x:color rgb="FFFFFFFF"/>
      <x:name val="Carlito"/>
    </x:font>
    <x:font>
      <x:b/>
      <x:sz val="11"/>
      <x:color rgb="FF173F43"/>
      <x:name val="Carlito"/>
    </x:font>
    <x:font>
      <x:sz val="9"/>
      <x:color rgb="FF304B4E"/>
      <x:name val="Carlito"/>
    </x:font>
    <x:font>
      <x:sz val="11"/>
      <x:color rgb="FF304B4E"/>
      <x:name val="Carlito"/>
    </x:font>
    <x:font>
      <x:i/>
      <x:sz val="9"/>
      <x:color rgb="FF304B4E"/>
      <x:name val="Carlito"/>
    </x:font>
    <x:font>
      <x:b/>
      <x:sz val="9"/>
      <x:color rgb="FF173F43"/>
      <x:name val="Carlito"/>
    </x:font>
    <x:font>
      <x:b/>
      <x:i/>
      <x:sz val="9"/>
      <x:color rgb="FF173F43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4A5B"/>
      </x:patternFill>
    </x:fill>
    <x:fill>
      <x:patternFill patternType="solid">
        <x:fgColor rgb="FFF3F8F9"/>
      </x:patternFill>
    </x:fill>
    <x:fill>
      <x:patternFill patternType="solid">
        <x:fgColor rgb="FF0F6B68"/>
      </x:patternFill>
    </x:fill>
    <x:fill>
      <x:patternFill patternType="solid">
        <x:fgColor rgb="FFDCEFF2"/>
      </x:patternFill>
    </x:fill>
    <x:fill>
      <x:patternFill patternType="solid">
        <x:fgColor rgb="FF0F5960"/>
      </x:patternFill>
    </x:fill>
    <x:fill>
      <x:patternFill patternType="solid">
        <x:fgColor rgb="FFDCEFF0"/>
      </x:patternFill>
    </x:fill>
    <x:fill>
      <x:patternFill patternType="solid">
        <x:fgColor rgb="FFF4F8F8"/>
      </x:patternFill>
    </x:fill>
    <x:fill>
      <x:patternFill patternType="solid">
        <x:fgColor rgb="FF287E86"/>
      </x:patternFill>
    </x:fill>
  </x:fills>
  <x:borders count="10">
    <x:border/>
    <x:border>
      <x:right style="thin">
        <x:color rgb="FFD6E1E4"/>
      </x:right>
      <x:bottom style="thin">
        <x:color rgb="FFD6E1E4"/>
      </x:bottom>
    </x:border>
    <x:border>
      <x:left style="thin">
        <x:color rgb="FFD6E1E4"/>
      </x:left>
      <x:right style="thin">
        <x:color rgb="FFD6E1E4"/>
      </x:right>
      <x:bottom style="thin">
        <x:color rgb="FFD6E1E4"/>
      </x:bottom>
    </x:border>
    <x:border>
      <x:left style="thin">
        <x:color rgb="FFD6E1E4"/>
      </x:left>
      <x:bottom style="thin">
        <x:color rgb="FFD6E1E4"/>
      </x:bottom>
    </x:border>
    <x:border>
      <x:right style="thin">
        <x:color rgb="FFD6E1E4"/>
      </x:right>
      <x:top style="thin">
        <x:color rgb="FFD6E1E4"/>
      </x:top>
      <x:bottom style="thin">
        <x:color rgb="FFD6E1E4"/>
      </x:bottom>
    </x:border>
    <x:border>
      <x:left style="thin">
        <x:color rgb="FFD6E1E4"/>
      </x:left>
      <x:right style="thin">
        <x:color rgb="FFD6E1E4"/>
      </x:right>
      <x:top style="thin">
        <x:color rgb="FFD6E1E4"/>
      </x:top>
      <x:bottom style="thin">
        <x:color rgb="FFD6E1E4"/>
      </x:bottom>
    </x:border>
    <x:border>
      <x:left style="thin">
        <x:color rgb="FFD6E1E4"/>
      </x:left>
      <x:top style="thin">
        <x:color rgb="FFD6E1E4"/>
      </x:top>
      <x:bottom style="thin">
        <x:color rgb="FFD6E1E4"/>
      </x:bottom>
    </x:border>
    <x:border>
      <x:right style="thin">
        <x:color rgb="FFD6E1E4"/>
      </x:right>
      <x:top style="thin">
        <x:color rgb="FFD6E1E4"/>
      </x:top>
    </x:border>
    <x:border>
      <x:left style="thin">
        <x:color rgb="FFD6E1E4"/>
      </x:left>
      <x:right style="thin">
        <x:color rgb="FFD6E1E4"/>
      </x:right>
      <x:top style="thin">
        <x:color rgb="FFD6E1E4"/>
      </x:top>
    </x:border>
    <x:border>
      <x:left style="thin">
        <x:color rgb="FFD6E1E4"/>
      </x:left>
      <x:top style="thin">
        <x:color rgb="FFD6E1E4"/>
      </x:top>
    </x:border>
  </x:borders>
  <x:cellStyleXfs count="1">
    <x:xf numFmtId="0" fontId="0" fillId="0" borderId="0"/>
  </x:cellStyleXfs>
  <x:cellXfs count="9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horizontal="center" vertical="top" wrapText="1"/>
    </x:xf>
    <x:xf numFmtId="200" fontId="4" fillId="0" borderId="5" xfId="0" applyNumberFormat="1" applyFont="1" applyFill="1" applyBorder="1" applyAlignment="1">
      <x:alignment horizontal="center" vertical="top" wrapText="1"/>
    </x:xf>
    <x:xf numFmtId="200" fontId="4" fillId="0" borderId="7" xfId="0" applyNumberFormat="1" applyFont="1" applyFill="1" applyBorder="1" applyAlignment="1">
      <x:alignment horizontal="center" vertical="top" wrapText="1"/>
    </x:xf>
    <x:xf numFmtId="200" fontId="4" fillId="0" borderId="8" xfId="0" applyNumberFormat="1" applyFont="1" applyFill="1" applyBorder="1" applyAlignment="1">
      <x:alignment horizontal="center"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7" fillId="6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center" wrapText="1"/>
    </x:xf>
    <x:xf numFmtId="0" fontId="10" fillId="6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horizontal="center" vertical="center" wrapText="1"/>
    </x:xf>
    <x:xf numFmtId="0" fontId="10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top" wrapText="1"/>
    </x:xf>
    <x:xf numFmtId="0" fontId="11" fillId="7" borderId="0" xfId="0" applyNumberFormat="1" applyFont="1" applyFill="1" applyBorder="1" applyAlignment="1">
      <x:alignment vertical="top" wrapText="1"/>
    </x:xf>
    <x:xf numFmtId="0" fontId="11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/>
    <x:xf numFmtId="0" fontId="11" fillId="4" borderId="0" xfId="0" applyNumberFormat="1" applyFont="1" applyFill="1" applyBorder="1"/>
    <x:xf numFmtId="0" fontId="11" fillId="0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 applyAlignment="1">
      <x:alignment vertical="top" wrapText="1"/>
    </x:xf>
    <x:xf numFmtId="0" fontId="12" fillId="8" borderId="0" xfId="0" applyNumberFormat="1" applyFont="1" applyFill="1" applyBorder="1" applyAlignment="1">
      <x:alignment vertical="top" wrapText="1"/>
    </x:xf>
    <x:xf numFmtId="0" fontId="13" fillId="8" borderId="0" xfId="0" applyNumberFormat="1" applyFont="1" applyFill="1" applyBorder="1"/>
    <x:xf numFmtId="0" fontId="14" fillId="8" borderId="0" xfId="0" applyNumberFormat="1" applyFont="1" applyFill="1" applyBorder="1" applyAlignment="1">
      <x:alignment vertical="top" wrapText="1"/>
    </x:xf>
    <x:xf numFmtId="0" fontId="13" fillId="8" borderId="0" xfId="0" applyNumberFormat="1" applyFont="1" applyFill="1" applyBorder="1" applyAlignment="1">
      <x:alignment wrapText="1"/>
    </x:xf>
    <x:xf numFmtId="0" fontId="13" fillId="8" borderId="0" xfId="0" applyNumberFormat="1" applyFont="1" applyFill="1" applyBorder="1" applyAlignment="1">
      <x:alignment vertical="top" wrapText="1"/>
    </x:xf>
    <x:xf numFmtId="0" fontId="15" fillId="8" borderId="0" xfId="0" applyNumberFormat="1" applyFont="1" applyFill="1" applyBorder="1" applyAlignment="1">
      <x:alignment vertical="top" wrapText="1"/>
    </x:xf>
    <x:xf numFmtId="0" fontId="16" fillId="8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left" vertical="center"/>
    </x:xf>
    <x:xf numFmtId="0" fontId="10" fillId="6" borderId="0" xfId="0" applyNumberFormat="1" applyFont="1" applyFill="1" applyBorder="1" applyAlignment="1">
      <x:alignment horizontal="left" vertical="center"/>
    </x:xf>
    <x:xf numFmtId="0" fontId="10" fillId="6" borderId="0" xfId="0" applyNumberFormat="1" applyFont="1" applyFill="1" applyBorder="1" applyAlignment="1">
      <x:alignment horizontal="left" vertical="center" wrapText="1"/>
    </x:xf>
    <x:xf numFmtId="0" fontId="3" fillId="9" borderId="1" xfId="0" applyNumberFormat="1" applyFont="1" applyFill="1" applyBorder="1" applyAlignment="1">
      <x:alignment vertical="center" wrapText="1"/>
    </x:xf>
    <x:xf numFmtId="0" fontId="3" fillId="9" borderId="2" xfId="0" applyNumberFormat="1" applyFont="1" applyFill="1" applyBorder="1" applyAlignment="1">
      <x:alignment vertical="center" wrapText="1"/>
    </x:xf>
    <x:xf numFmtId="0" fontId="3" fillId="9" borderId="3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9" borderId="2" xfId="0" applyNumberFormat="1" applyFont="1" applyFill="1" applyBorder="1" applyAlignment="1">
      <x:alignment wrapText="1"/>
    </x:xf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86e4bb9a3d4423" /><Relationship Type="http://schemas.openxmlformats.org/officeDocument/2006/relationships/theme" Target="/xl/theme/theme1.xml" Id="R8e7d0792f3ab4541" /><Relationship Type="http://schemas.openxmlformats.org/officeDocument/2006/relationships/sharedStrings" Target="/xl/sharedStrings.xml" Id="R4f0ad1333219472f" /><Relationship Type="http://schemas.openxmlformats.org/officeDocument/2006/relationships/worksheet" Target="/xl/worksheets/sheet1.xml" Id="Rf3ed96e1abb640d0" /><Relationship Type="http://schemas.openxmlformats.org/officeDocument/2006/relationships/worksheet" Target="/xl/worksheets/sheet2.xml" Id="R81b9d17176fb430c" /><Relationship Type="http://schemas.openxmlformats.org/officeDocument/2006/relationships/worksheet" Target="/xl/worksheets/sheet3.xml" Id="R3e09a0134b414823" /><Relationship Type="http://schemas.openxmlformats.org/officeDocument/2006/relationships/worksheet" Target="/xl/worksheets/sheet4.xml" Id="Rd31a589aca534f78" /><Relationship Type="http://schemas.openxmlformats.org/officeDocument/2006/relationships/worksheet" Target="/xl/worksheets/sheet5.xml" Id="Rdb0174281cca4b37" /><Relationship Type="http://schemas.openxmlformats.org/officeDocument/2006/relationships/worksheet" Target="/xl/worksheets/sheet6.xml" Id="Rd845756e3b5842e1" /></Relationships>
</file>

<file path=xl/tables/table1.xml><?xml version="1.0" encoding="utf-8"?>
<x:table xmlns:x="http://schemas.openxmlformats.org/spreadsheetml/2006/main" id="1" name="SupplementaryTableS1v3" displayName="SupplementaryTableS1v3" ref="A3:H283" headerRowCount="1" totalsRowCount="0" totalsRowShown="0">
  <x:tableColumns count="8">
    <x:tableColumn id="1" name="No."/>
    <x:tableColumn id="2" name="Peptide sequence"/>
    <x:tableColumn id="3" name="Length (aa)"/>
    <x:tableColumn id="4" name="Class label"/>
    <x:tableColumn id="5" name="Evidence / validation"/>
    <x:tableColumn id="6" name="Taste attributes / assay condition"/>
    <x:tableColumn id="7" name="Source material / protein"/>
    <x:tableColumn id="8" name="Source / refer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ementaryTableS2v3" displayName="SupplementaryTableS2v3" ref="A3:H303" headerRowCount="1" totalsRowCount="0" totalsRowShown="0">
  <x:tableColumns count="8">
    <x:tableColumn id="1" name="No."/>
    <x:tableColumn id="2" name="Peptide sequence"/>
    <x:tableColumn id="3" name="Length (aa)"/>
    <x:tableColumn id="4" name="Class label"/>
    <x:tableColumn id="5" name="Assigned non-salty taste"/>
    <x:tableColumn id="6" name="Evidence grade"/>
    <x:tableColumn id="7" name="Validation / test condition"/>
    <x:tableColumn id="8" name="Source / re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pansionAuditTable" displayName="ExpansionAuditTable" ref="A3:I15" headerRowCount="1" totalsRowCount="0" totalsRowShown="0">
  <x:tableColumns count="9">
    <x:tableColumn id="1" name="Order"/>
    <x:tableColumn id="2" name="Source file"/>
    <x:tableColumn id="3" name="Study"/>
    <x:tableColumn id="4" name="DOI"/>
    <x:tableColumn id="5" name="Raw positive"/>
    <x:tableColumn id="6" name="Raw negative"/>
    <x:tableColumn id="7" name="Added positive"/>
    <x:tableColumn id="8" name="Added negative"/>
    <x:tableColumn id="9" name="Decision / audit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DictionaryTablev3" displayName="DataDictionaryTablev3" ref="A3:D19" headerRowCount="1" totalsRowCount="0" totalsRowShown="0">
  <x:tableColumns count="4">
    <x:tableColumn id="1" name="Table"/>
    <x:tableColumn id="2" name="Field"/>
    <x:tableColumn id="3" name="Data type"/>
    <x:tableColumn id="4" name="Defini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CSummaryTablev3" displayName="QCSummaryTablev3" ref="A3:C19" headerRowCount="1" totalsRowCount="0" totalsRowShown="0">
  <x:tableColumns count="3">
    <x:tableColumn id="1" name="QC item"/>
    <x:tableColumn id="2" name="Result"/>
    <x:tableColumn id="3" name="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1d2b94da1141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79fd10439141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45901d8eeb44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5c53e7751047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724390c2b04f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8" hidden="0" customWidth="1"/>
    <x:col min="3" max="3" width="20" hidden="0" customWidth="1"/>
    <x:col min="4" max="4" width="40" hidden="0" customWidth="1"/>
  </x:cols>
  <x:sheetData>
    <x:row r="1" ht="28" hidden="0" customHeight="1">
      <x:c r="A1" s="57" t="str">
        <x:v>Supplementary data for SaltyMeta</x:v>
      </x:c>
      <x:c r="B1" s="58"/>
      <x:c r="C1" s="58"/>
      <x:c r="D1" s="58"/>
    </x:row>
    <x:row r="2" ht="30" customHeight="1">
      <x:c r="A2" s="68" t="str">
        <x:v>Manuscript</x:v>
      </x:c>
      <x:c r="B2" s="43" t="str">
        <x:v>SaltyMeta: a curated benchmark and protein language model-informed web tool for salty peptide prediction</x:v>
      </x:c>
      <x:c r="C2" s="43"/>
      <x:c r="D2" s="43"/>
    </x:row>
    <x:row r="3" ht="30" hidden="0" customHeight="1">
      <x:c r="A3" s="71" t="str">
        <x:v>Authors</x:v>
      </x:c>
      <x:c r="B3" s="72" t="str">
        <x:v>Wanchao Chen; Wen Li; Yanan He; Yan Yang</x:v>
      </x:c>
      <x:c r="C3" s="43"/>
      <x:c r="D3" s="43"/>
    </x:row>
    <x:row r="4" ht="30" hidden="0" customHeight="1">
      <x:c r="A4" s="68" t="str">
        <x:v>Affiliation</x:v>
      </x:c>
      <x:c r="B4" s="43" t="str">
        <x:v>Institute of Edible Fungi, Shanghai Academy of Agricultural Sciences</x:v>
      </x:c>
      <x:c r="C4" s="43"/>
      <x:c r="D4" s="43"/>
    </x:row>
    <x:row r="5" ht="30" hidden="0" customHeight="1">
      <x:c r="A5" s="68" t="str">
        <x:v>Corresponding author</x:v>
      </x:c>
      <x:c r="B5" s="43" t="str">
        <x:v>Wanchao Chen (chenwanchao@saas.sh.cn)</x:v>
      </x:c>
      <x:c r="C5" s="43"/>
      <x:c r="D5" s="43"/>
    </x:row>
    <x:row r="6" ht="15" hidden="0" customHeight="1">
      <x:c r="A6" s="43"/>
      <x:c r="B6" s="43"/>
      <x:c r="C6" s="43"/>
      <x:c r="D6" s="43"/>
    </x:row>
    <x:row r="7" ht="15" hidden="0" customHeight="1">
      <x:c r="A7" s="63" t="str">
        <x:v>Dataset summary</x:v>
      </x:c>
      <x:c r="B7" s="63"/>
      <x:c r="C7" s="63"/>
      <x:c r="D7" s="63"/>
    </x:row>
    <x:row r="8" ht="15" hidden="0" customHeight="1">
      <x:c r="A8" s="68" t="str">
        <x:v>Positive samples (Table S1)</x:v>
      </x:c>
      <x:c r="B8" s="43" t="n">
        <x:f>COUNTA('Table S1_Positive'!B4:B283)</x:f>
        <x:v>280</x:v>
      </x:c>
      <x:c r="C8" s="43"/>
      <x:c r="D8" s="43"/>
    </x:row>
    <x:row r="9" ht="15" hidden="0" customHeight="1">
      <x:c r="A9" s="68" t="str">
        <x:v>Negative samples (Table S2)</x:v>
      </x:c>
      <x:c r="B9" s="43" t="n">
        <x:f>COUNTA('Table S2_Negative'!B4:B303)</x:f>
        <x:v>300</x:v>
      </x:c>
      <x:c r="C9" s="43"/>
      <x:c r="D9" s="43"/>
    </x:row>
    <x:row r="10" ht="15" hidden="0" customHeight="1">
      <x:c r="A10" s="68" t="str">
        <x:v>Total samples</x:v>
      </x:c>
      <x:c r="B10" s="43" t="n">
        <x:f>B8+B9</x:f>
        <x:v>580</x:v>
      </x:c>
      <x:c r="C10" s="43"/>
      <x:c r="D10" s="43"/>
    </x:row>
    <x:row r="11" ht="15" hidden="0" customHeight="1">
      <x:c r="A11" s="68" t="str">
        <x:v>Sequence length</x:v>
      </x:c>
      <x:c r="B11" s="43" t="str">
        <x:v>2-15 amino-acid residues</x:v>
      </x:c>
      <x:c r="C11" s="43"/>
      <x:c r="D11" s="43"/>
    </x:row>
    <x:row r="12" ht="15" hidden="0" customHeight="1">
      <x:c r="A12" s="68" t="str">
        <x:v>Within-class exact duplicates</x:v>
      </x:c>
      <x:c r="B12" s="43" t="n">
        <x:v>0</x:v>
      </x:c>
      <x:c r="C12" s="43"/>
      <x:c r="D12" s="43"/>
    </x:row>
    <x:row r="13">
      <x:c r="A13" s="68" t="str">
        <x:v>Exact positive-negative overlaps</x:v>
      </x:c>
      <x:c r="B13" s="43" t="n">
        <x:v>0</x:v>
      </x:c>
      <x:c r="C13" s="43"/>
      <x:c r="D13" s="43"/>
    </x:row>
    <x:row r="14" ht="15" hidden="0" customHeight="1">
      <x:c r="A14" s="44"/>
      <x:c r="B14" s="44"/>
      <x:c r="C14" s="44"/>
      <x:c r="D14" s="44"/>
    </x:row>
    <x:row r="15" ht="26.399999618530273" hidden="0" customHeight="1">
      <x:c r="A15" s="63" t="str">
        <x:v>Dataset scope</x:v>
      </x:c>
      <x:c r="B15" s="63"/>
      <x:c r="C15" s="63"/>
      <x:c r="D15" s="63"/>
    </x:row>
    <x:row r="16" ht="52" hidden="0" customHeight="1">
      <x:c r="A16" s="68" t="str">
        <x:v>Positive endpoint</x:v>
      </x:c>
      <x:c r="B16" s="43" t="str">
        <x:v>Salty or saltiness-enhancing activity reported at sequence level under the source evidence; assay context and provenance are retained.</x:v>
      </x:c>
      <x:c r="C16" s="43"/>
      <x:c r="D16" s="43"/>
    </x:row>
    <x:row r="17" ht="52" hidden="0" customHeight="1">
      <x:c r="A17" s="68" t="str">
        <x:v>Negative endpoint</x:v>
      </x:c>
      <x:c r="B17" s="43" t="str">
        <x:v>Peptides reported as non-salty or not classified as salty under the cited evidence; evidence grades distinguish stronger from weaker negative labels.</x:v>
      </x:c>
      <x:c r="C17" s="43"/>
      <x:c r="D17" s="43"/>
    </x:row>
    <x:row r="18" ht="52" hidden="0" customHeight="1">
      <x:c r="A18" s="68" t="str">
        <x:v>Evidence caveat</x:v>
      </x:c>
      <x:c r="B18" s="43" t="str">
        <x:v>Database-derived and relaxed negative labels are weaker than direct sensory evidence and should be considered in sensitivity analyses.</x:v>
      </x:c>
      <x:c r="C18" s="43"/>
      <x:c r="D18" s="43"/>
    </x:row>
    <x:row r="19" ht="52" hidden="0" customHeight="1">
      <x:c r="A19" s="68" t="str">
        <x:v>Curation decisions</x:v>
      </x:c>
      <x:c r="B19" s="43" t="str">
        <x:v>The conflicting peptide RV was excluded from both classes. The repeated sequence DGFE was merged into one negative record with both sources retained.</x:v>
      </x:c>
      <x:c r="C19" s="43"/>
      <x:c r="D19" s="43"/>
    </x:row>
    <x:row r="20" ht="52" hidden="0" customHeight="1">
      <x:c r="A20" s="68" t="str">
        <x:v>External validation</x:v>
      </x:c>
      <x:c r="B20" s="43" t="str">
        <x:v>No independent external validation set is included in this preprint. Evaluation uses the similarity-grouped internal split described in the manuscript.</x:v>
      </x:c>
      <x:c r="C20" s="43"/>
      <x:c r="D20" s="43"/>
    </x:row>
    <x:row r="21" ht="15" hidden="0" customHeight="1">
      <x:c r="A21" s="43"/>
      <x:c r="B21" s="43"/>
      <x:c r="C21" s="43"/>
      <x:c r="D21" s="43"/>
    </x:row>
    <x:row r="22" ht="15" hidden="0" customHeight="1">
      <x:c r="A22" s="63" t="str">
        <x:v>Included sheets</x:v>
      </x:c>
      <x:c r="B22" s="63"/>
      <x:c r="C22" s="63"/>
      <x:c r="D22" s="63"/>
    </x:row>
    <x:row r="23" ht="34" hidden="0" customHeight="1">
      <x:c r="A23" s="68" t="str">
        <x:v>Table S1_Positive</x:v>
      </x:c>
      <x:c r="B23" s="43" t="str">
        <x:v>Full record-level positive dataset (n = 280).</x:v>
      </x:c>
      <x:c r="C23" s="43"/>
      <x:c r="D23" s="43"/>
    </x:row>
    <x:row r="24" ht="34" hidden="0" customHeight="1">
      <x:c r="A24" s="68" t="str">
        <x:v>Table S2_Negative</x:v>
      </x:c>
      <x:c r="B24" s="43" t="str">
        <x:v>Full record-level negative dataset (n = 300).</x:v>
      </x:c>
      <x:c r="C24" s="43"/>
      <x:c r="D24" s="43"/>
    </x:row>
    <x:row r="25" ht="34" hidden="0" customHeight="1">
      <x:c r="A25" s="68" t="str">
        <x:v>Curation Audit / Data Dictionary / QC Summary</x:v>
      </x:c>
      <x:c r="B25" s="43" t="str">
        <x:v>Source-level inclusion decisions, field definitions, and release-level quality checks.</x:v>
      </x:c>
      <x:c r="C25" s="43"/>
      <x:c r="D25" s="43"/>
    </x:row>
    <x:row r="26" ht="34" hidden="0" customHeight="1">
      <x:c r="A26" s="68" t="str">
        <x:v>Related release</x:v>
      </x:c>
      <x:c r="B26" s="43" t="str">
        <x:v>The manuscript reports the SaltyMeta application and code release (GitHub commit 100328e). Verify public links at submission.</x:v>
      </x:c>
      <x:c r="C26" s="43"/>
      <x:c r="D26" s="43"/>
    </x:row>
  </x:sheetData>
  <x:mergeCells>
    <x:mergeCell ref="A1:D1"/>
    <x:mergeCell ref="A7:D7"/>
    <x:mergeCell ref="A15:D15"/>
    <x:mergeCell ref="A22:D22"/>
    <x:mergeCell ref="B2:D2"/>
    <x:mergeCell ref="B3:D3"/>
    <x:mergeCell ref="B4:D4"/>
    <x:mergeCell ref="B5:D5"/>
    <x:mergeCell ref="B11:D11"/>
    <x:mergeCell ref="B12:D12"/>
    <x:mergeCell ref="B13:D13"/>
    <x:mergeCell ref="B16:D16"/>
    <x:mergeCell ref="B17:D17"/>
    <x:mergeCell ref="B18:D18"/>
    <x:mergeCell ref="B19:D19"/>
    <x:mergeCell ref="B20:D20"/>
    <x:mergeCell ref="B23:D23"/>
    <x:mergeCell ref="B24:D24"/>
    <x:mergeCell ref="B25:D25"/>
    <x:mergeCell ref="B26:D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0" hidden="0" customWidth="1"/>
    <x:col min="4" max="4" width="10" hidden="0" customWidth="1"/>
    <x:col min="5" max="5" width="36" hidden="0" customWidth="1"/>
    <x:col min="6" max="6" width="42" hidden="0" customWidth="1"/>
    <x:col min="7" max="7" width="34" hidden="0" customWidth="1"/>
    <x:col min="8" max="8" width="36" hidden="0" customWidth="1"/>
  </x:cols>
  <x:sheetData>
    <x:row r="1" ht="28" customHeight="1">
      <x:c r="A1" s="85" t="str">
        <x:v>Table S1. Curated positive dataset of salty or saltiness-enhancing peptides used for model development (n = 280)</x:v>
      </x:c>
      <x:c r="B1" s="58"/>
      <x:c r="C1" s="58"/>
      <x:c r="D1" s="58"/>
      <x:c r="E1" s="58"/>
      <x:c r="F1" s="58"/>
      <x:c r="G1" s="58"/>
      <x:c r="H1" s="58"/>
    </x:row>
    <x:row r="2" ht="24" customHeight="1">
      <x:c r="A2" s="7" t="str">
        <x:v>Sequence-level evidence, assay context, source material, and provenance are retained for reproducibility.</x:v>
      </x:c>
      <x:c r="B2" s="41"/>
      <x:c r="C2" s="41"/>
      <x:c r="D2" s="41"/>
      <x:c r="E2" s="41"/>
      <x:c r="F2" s="41"/>
      <x:c r="G2" s="41"/>
      <x:c r="H2" s="41"/>
    </x:row>
    <x:row r="3" ht="32" customHeight="1">
      <x:c r="A3" s="86" t="str">
        <x:v>No.</x:v>
      </x:c>
      <x:c r="B3" s="87" t="str">
        <x:v>Peptide sequence</x:v>
      </x:c>
      <x:c r="C3" s="87" t="str">
        <x:v>Length (aa)</x:v>
      </x:c>
      <x:c r="D3" s="87" t="str">
        <x:v>Class label</x:v>
      </x:c>
      <x:c r="E3" s="87" t="str">
        <x:v>Evidence / validation</x:v>
      </x:c>
      <x:c r="F3" s="87" t="str">
        <x:v>Taste attributes / assay condition</x:v>
      </x:c>
      <x:c r="G3" s="87" t="str">
        <x:v>Source material / protein</x:v>
      </x:c>
      <x:c r="H3" s="88" t="str">
        <x:v>Source / reference</x:v>
      </x:c>
    </x:row>
    <x:row r="4" ht="32.400001525878906" hidden="0" customHeight="1">
      <x:c r="A4" s="34" t="n">
        <x:v>1</x:v>
      </x:c>
      <x:c r="B4" s="35" t="str">
        <x:v>AVFDDKVR</x:v>
      </x:c>
      <x:c r="C4" s="35" t="n">
        <x:f>LEN(B4)</x:f>
        <x:v>8</x:v>
      </x:c>
      <x:c r="D4" s="35" t="n">
        <x:v>1</x:v>
      </x:c>
      <x:c r="E4" s="21" t="str">
        <x:v>Direct sensory evidence; synthetic/isolated peptide; sensory evaluation; electronic tongue; taste-threshold test; LC-MS/MS identification; molecular docking (supporting)</x:v>
      </x:c>
      <x:c r="F4" s="21" t="str">
        <x:v>salty, umami, sour; reported assay value(s): 0.49 mg/mL</x:v>
      </x:c>
      <x:c r="G4" s="21" t="str">
        <x:v>pea protein hydrolysate, GPC2 fraction; pea protein hydrolysate</x:v>
      </x:c>
      <x:c r="H4" s="22" t="str">
        <x:v>Current_curated; 10.1016/j.foodchem.2026.148592</x:v>
      </x:c>
    </x:row>
    <x:row r="5" ht="32.400001525878906" hidden="0" customHeight="1">
      <x:c r="A5" s="34" t="n">
        <x:v>2</x:v>
      </x:c>
      <x:c r="B5" s="35" t="str">
        <x:v>DYWPS</x:v>
      </x:c>
      <x:c r="C5" s="35" t="n">
        <x:f>LEN(B5)</x:f>
        <x:v>5</x:v>
      </x:c>
      <x:c r="D5" s="35" t="n">
        <x:v>1</x:v>
      </x:c>
      <x:c r="E5" s="21" t="str">
        <x:v>Direct sensory evidence; synthetic/isolated peptide; sensory evaluation; electronic tongue; taste-threshold test; LC-MS/MS identification; molecular docking (supporting)</x:v>
      </x:c>
      <x:c r="F5" s="21" t="str">
        <x:v>salty, umami, sour; reported assay value(s): 0.30 mg/mL</x:v>
      </x:c>
      <x:c r="G5" s="21" t="str">
        <x:v>pea protein hydrolysate, GPC2 fraction; pea protein hydrolysate</x:v>
      </x:c>
      <x:c r="H5" s="22" t="str">
        <x:v>Current_curated; 10.1016/j.foodchem.2026.148592</x:v>
      </x:c>
    </x:row>
    <x:row r="6" ht="32.400001525878906" hidden="0" customHeight="1">
      <x:c r="A6" s="34" t="n">
        <x:v>3</x:v>
      </x:c>
      <x:c r="B6" s="35" t="str">
        <x:v>FDDKVR</x:v>
      </x:c>
      <x:c r="C6" s="35" t="n">
        <x:f>LEN(B6)</x:f>
        <x:v>6</x:v>
      </x:c>
      <x:c r="D6" s="35" t="n">
        <x:v>1</x:v>
      </x:c>
      <x:c r="E6" s="21" t="str">
        <x:v>Direct sensory evidence; synthetic/isolated peptide; sensory evaluation; electronic tongue; taste-threshold test; LC-MS/MS identification; molecular docking (supporting)</x:v>
      </x:c>
      <x:c r="F6" s="21" t="str">
        <x:v>salty, umami, sour; salt-enhancing activity also reported; reported assay value(s): 0.44 mg/mL, 45%</x:v>
      </x:c>
      <x:c r="G6" s="21" t="str">
        <x:v>pea protein hydrolysate, GPC2 fraction; pea protein hydrolysate</x:v>
      </x:c>
      <x:c r="H6" s="22" t="str">
        <x:v>Current_curated; 10.1016/j.foodchem.2026.148592</x:v>
      </x:c>
    </x:row>
    <x:row r="7" ht="32.400001525878906" hidden="0" customHeight="1">
      <x:c r="A7" s="34" t="n">
        <x:v>4</x:v>
      </x:c>
      <x:c r="B7" s="35" t="str">
        <x:v>FDSRF</x:v>
      </x:c>
      <x:c r="C7" s="35" t="n">
        <x:f>LEN(B7)</x:f>
        <x:v>5</x:v>
      </x:c>
      <x:c r="D7" s="35" t="n">
        <x:v>1</x:v>
      </x:c>
      <x:c r="E7" s="21" t="str">
        <x:v>Direct sensory evidence; synthetic/isolated peptide; sensory evaluation; electronic tongue; taste-threshold test; LC-MS/MS identification; molecular docking (supporting)</x:v>
      </x:c>
      <x:c r="F7" s="21" t="str">
        <x:v>salty, umami, sour; reported assay value(s): 0.49 mg/mL</x:v>
      </x:c>
      <x:c r="G7" s="21" t="str">
        <x:v>pea protein hydrolysate, GPC2 fraction; pea protein hydrolysate</x:v>
      </x:c>
      <x:c r="H7" s="22" t="str">
        <x:v>Current_curated; 10.1016/j.foodchem.2026.148592</x:v>
      </x:c>
    </x:row>
    <x:row r="8" ht="32.400001525878906" hidden="0" customHeight="1">
      <x:c r="A8" s="34" t="n">
        <x:v>5</x:v>
      </x:c>
      <x:c r="B8" s="35" t="str">
        <x:v>IYDYD</x:v>
      </x:c>
      <x:c r="C8" s="35" t="n">
        <x:f>LEN(B8)</x:f>
        <x:v>5</x:v>
      </x:c>
      <x:c r="D8" s="35" t="n">
        <x:v>1</x:v>
      </x:c>
      <x:c r="E8" s="21" t="str">
        <x:v>Direct sensory evidence; synthetic/isolated peptide; sensory evaluation; electronic tongue; taste-threshold test; LC-MS/MS identification; molecular docking (supporting)</x:v>
      </x:c>
      <x:c r="F8" s="21" t="str">
        <x:v>salty, umami, sour; reported assay value(s): 0.39 mg/mL</x:v>
      </x:c>
      <x:c r="G8" s="21" t="str">
        <x:v>pea protein hydrolysate, GPC2 fraction; pea protein hydrolysate</x:v>
      </x:c>
      <x:c r="H8" s="22" t="str">
        <x:v>Current_curated; 10.1016/j.foodchem.2026.148592</x:v>
      </x:c>
    </x:row>
    <x:row r="9" ht="32.400001525878906" hidden="0" customHeight="1">
      <x:c r="A9" s="34" t="n">
        <x:v>6</x:v>
      </x:c>
      <x:c r="B9" s="35" t="str">
        <x:v>RDFLEDA</x:v>
      </x:c>
      <x:c r="C9" s="35" t="n">
        <x:f>LEN(B9)</x:f>
        <x:v>7</x:v>
      </x:c>
      <x:c r="D9" s="35" t="n">
        <x:v>1</x:v>
      </x:c>
      <x:c r="E9" s="21" t="str">
        <x:v>Direct sensory evidence; synthetic/isolated peptide; sensory evaluation; electronic tongue; taste-threshold test; LC-MS/MS identification; molecular docking (supporting)</x:v>
      </x:c>
      <x:c r="F9" s="21" t="str">
        <x:v>salty, umami, sour; reported assay value(s): 0.31 mg/mL</x:v>
      </x:c>
      <x:c r="G9" s="21" t="str">
        <x:v>pea protein hydrolysate, GPC2 fraction; pea protein hydrolysate</x:v>
      </x:c>
      <x:c r="H9" s="22" t="str">
        <x:v>Current_curated; 10.1016/j.foodchem.2026.148592</x:v>
      </x:c>
    </x:row>
    <x:row r="10" ht="32.400001525878906" hidden="0" customHeight="1">
      <x:c r="A10" s="34" t="n">
        <x:v>7</x:v>
      </x:c>
      <x:c r="B10" s="35" t="str">
        <x:v>RSDPQNPF</x:v>
      </x:c>
      <x:c r="C10" s="35" t="n">
        <x:f>LEN(B10)</x:f>
        <x:v>8</x:v>
      </x:c>
      <x:c r="D10" s="35" t="n">
        <x:v>1</x:v>
      </x:c>
      <x:c r="E10" s="21" t="str">
        <x:v>Direct sensory evidence; synthetic/isolated peptide; sensory evaluation; electronic tongue; taste-threshold test; LC-MS/MS identification; molecular docking (supporting)</x:v>
      </x:c>
      <x:c r="F10" s="21" t="str">
        <x:v>salty, umami, sweet; salt-enhancing activity also reported; reported assay value(s): 0.38 mg/mL, 2 mg/mL, 3 mg/mL</x:v>
      </x:c>
      <x:c r="G10" s="21" t="str">
        <x:v>pea protein hydrolysate, GPC2 fraction; pea protein hydrolysate</x:v>
      </x:c>
      <x:c r="H10" s="22" t="str">
        <x:v>Current_curated; 10.1016/j.foodchem.2026.148592</x:v>
      </x:c>
    </x:row>
    <x:row r="11" ht="32.400001525878906" hidden="0" customHeight="1">
      <x:c r="A11" s="34" t="n">
        <x:v>8</x:v>
      </x:c>
      <x:c r="B11" s="35" t="str">
        <x:v>YDPFS</x:v>
      </x:c>
      <x:c r="C11" s="35" t="n">
        <x:f>LEN(B11)</x:f>
        <x:v>5</x:v>
      </x:c>
      <x:c r="D11" s="35" t="n">
        <x:v>1</x:v>
      </x:c>
      <x:c r="E11" s="21" t="str">
        <x:v>Direct sensory evidence; synthetic/isolated peptide; sensory evaluation; electronic tongue; taste-threshold test; LC-MS/MS identification; molecular docking (supporting)</x:v>
      </x:c>
      <x:c r="F11" s="21" t="str">
        <x:v>salty, umami, sour; salt-enhancing activity also reported; reported assay value(s): 0.49 mg/mL, 20%</x:v>
      </x:c>
      <x:c r="G11" s="21" t="str">
        <x:v>pea protein hydrolysate, GPC2 fraction; pea protein hydrolysate</x:v>
      </x:c>
      <x:c r="H11" s="22" t="str">
        <x:v>Current_curated; 10.1016/j.foodchem.2026.148592</x:v>
      </x:c>
    </x:row>
    <x:row r="12" ht="32.400001525878906" hidden="0" customHeight="1">
      <x:c r="A12" s="34" t="n">
        <x:v>9</x:v>
      </x:c>
      <x:c r="B12" s="35" t="str">
        <x:v>YEEPRSQ</x:v>
      </x:c>
      <x:c r="C12" s="35" t="n">
        <x:f>LEN(B12)</x:f>
        <x:v>7</x:v>
      </x:c>
      <x:c r="D12" s="35" t="n">
        <x:v>1</x:v>
      </x:c>
      <x:c r="E12" s="21" t="str">
        <x:v>Direct sensory evidence; synthetic/isolated peptide; sensory evaluation; electronic tongue; taste-threshold test; LC-MS/MS identification; molecular docking (supporting)</x:v>
      </x:c>
      <x:c r="F12" s="21" t="str">
        <x:v>salty, umami, sour; reported assay value(s): 0.64 mg/mL</x:v>
      </x:c>
      <x:c r="G12" s="21" t="str">
        <x:v>pea protein hydrolysate, GPC2 fraction; pea protein hydrolysate</x:v>
      </x:c>
      <x:c r="H12" s="22" t="str">
        <x:v>Current_curated; 10.1016/j.foodchem.2026.148592</x:v>
      </x:c>
    </x:row>
    <x:row r="13" ht="32.400001525878906" hidden="0" customHeight="1">
      <x:c r="A13" s="34" t="n">
        <x:v>10</x:v>
      </x:c>
      <x:c r="B13" s="35" t="str">
        <x:v>YTDADF</x:v>
      </x:c>
      <x:c r="C13" s="35" t="n">
        <x:f>LEN(B13)</x:f>
        <x:v>6</x:v>
      </x:c>
      <x:c r="D13" s="35" t="n">
        <x:v>1</x:v>
      </x:c>
      <x:c r="E13" s="21" t="str">
        <x:v>Direct sensory evidence; synthetic/isolated peptide; sensory evaluation; electronic tongue; taste-threshold test; LC-MS/MS identification; molecular docking (supporting)</x:v>
      </x:c>
      <x:c r="F13" s="21" t="str">
        <x:v>salty, umami, astringent; reported assay value(s): 0.50 mg/mL</x:v>
      </x:c>
      <x:c r="G13" s="21" t="str">
        <x:v>pea protein hydrolysate, GPC2 fraction; pea protein hydrolysate</x:v>
      </x:c>
      <x:c r="H13" s="22" t="str">
        <x:v>Current_curated; 10.1016/j.foodchem.2026.148592</x:v>
      </x:c>
    </x:row>
    <x:row r="14" ht="32.400001525878906" hidden="0" customHeight="1">
      <x:c r="A14" s="34" t="n">
        <x:v>11</x:v>
      </x:c>
      <x:c r="B14" s="35" t="str">
        <x:v>DEDETTAL</x:v>
      </x:c>
      <x:c r="C14" s="35" t="n">
        <x:f>LEN(B14)</x:f>
        <x:v>8</x:v>
      </x:c>
      <x:c r="D14" s="35" t="n">
        <x:v>1</x:v>
      </x:c>
      <x:c r="E14" s="21" t="str">
        <x:v>Direct sensory evidence; sensory evaluation; electronic tongue; LC-MS/MS identification; molecular docking (supporting)</x:v>
      </x:c>
      <x:c r="F14" s="21" t="str">
        <x:v>salty; reported assay value(s): 0.40 mmol/L</x:v>
      </x:c>
      <x:c r="G14" s="21" t="str">
        <x:v>fermented sausage (muscle-protein); fermented pork sausage</x:v>
      </x:c>
      <x:c r="H14" s="22" t="str">
        <x:v>Current_curated; 10.1016/j.foodres.2026.119732</x:v>
      </x:c>
    </x:row>
    <x:row r="15" ht="32.400001525878906" hidden="0" customHeight="1">
      <x:c r="A15" s="34" t="n">
        <x:v>12</x:v>
      </x:c>
      <x:c r="B15" s="35" t="str">
        <x:v>DEADEWAR</x:v>
      </x:c>
      <x:c r="C15" s="35" t="n">
        <x:f>LEN(B15)</x:f>
        <x:v>8</x:v>
      </x:c>
      <x:c r="D15" s="35" t="n">
        <x:v>1</x:v>
      </x:c>
      <x:c r="E15" s="21" t="str">
        <x:v>Direct sensory evidence; sensory evaluation; electronic tongue; LC-MS/MS identification; molecular docking (supporting)</x:v>
      </x:c>
      <x:c r="F15" s="21" t="str">
        <x:v>salty; reported assay value(s): 0.41 mmol/L</x:v>
      </x:c>
      <x:c r="G15" s="21" t="str">
        <x:v>fermented sausage (muscle-protein); fermented pork sausage</x:v>
      </x:c>
      <x:c r="H15" s="22" t="str">
        <x:v>Current_curated; 10.1016/j.foodres.2026.119732</x:v>
      </x:c>
    </x:row>
    <x:row r="16" ht="32.400001525878906" hidden="0" customHeight="1">
      <x:c r="A16" s="34" t="n">
        <x:v>13</x:v>
      </x:c>
      <x:c r="B16" s="35" t="str">
        <x:v>KPEDEADEWAR</x:v>
      </x:c>
      <x:c r="C16" s="35" t="n">
        <x:f>LEN(B16)</x:f>
        <x:v>11</x:v>
      </x:c>
      <x:c r="D16" s="35" t="n">
        <x:v>1</x:v>
      </x:c>
      <x:c r="E16" s="21" t="str">
        <x:v>Direct sensory evidence; sensory evaluation; electronic tongue; LC-MS/MS identification; molecular docking (supporting)</x:v>
      </x:c>
      <x:c r="F16" s="21" t="str">
        <x:v>salty; reported assay value(s): 0.19 mmol/L</x:v>
      </x:c>
      <x:c r="G16" s="21" t="str">
        <x:v>fermented sausage (muscle-protein); fermented pork sausage</x:v>
      </x:c>
      <x:c r="H16" s="22" t="str">
        <x:v>Current_curated; 10.1016/j.foodres.2026.119732</x:v>
      </x:c>
    </x:row>
    <x:row r="17" ht="32.400001525878906" hidden="0" customHeight="1">
      <x:c r="A17" s="34" t="n">
        <x:v>14</x:v>
      </x:c>
      <x:c r="B17" s="35" t="str">
        <x:v>ECYECG</x:v>
      </x:c>
      <x:c r="C17" s="35" t="n">
        <x:f>LEN(B17)</x:f>
        <x:v>6</x:v>
      </x:c>
      <x:c r="D17" s="35" t="n">
        <x:v>1</x:v>
      </x:c>
      <x:c r="E17" s="21" t="str">
        <x:v>Direct sensory evidence; synthetic/isolated peptide; sensory evaluation; electronic tongue; taste-threshold test; LC-MS/MS identification; molecular docking (supporting)</x:v>
      </x:c>
      <x:c r="F17" s="21" t="str">
        <x:v>salty; salt-enhancing activity also reported; reported assay value(s): 0.2% (w/v)</x:v>
      </x:c>
      <x:c r="G17" s="21" t="str">
        <x:v>Flammulina filiformis</x:v>
      </x:c>
      <x:c r="H17" s="22" t="str">
        <x:v>10.1016/j.fbio.2026.108895</x:v>
      </x:c>
    </x:row>
    <x:row r="18" ht="32.400001525878906" hidden="0" customHeight="1">
      <x:c r="A18" s="34" t="n">
        <x:v>15</x:v>
      </x:c>
      <x:c r="B18" s="35" t="str">
        <x:v>PPPPPP</x:v>
      </x:c>
      <x:c r="C18" s="35" t="n">
        <x:f>LEN(B18)</x:f>
        <x:v>6</x:v>
      </x:c>
      <x:c r="D18" s="35" t="n">
        <x:v>1</x:v>
      </x:c>
      <x:c r="E18" s="21" t="str">
        <x:v>Direct sensory evidence; synthetic/isolated peptide; sensory evaluation; electronic tongue; taste-threshold test; LC-MS/MS identification; molecular docking (supporting)</x:v>
      </x:c>
      <x:c r="F18" s="21" t="str">
        <x:v>salty; salt-enhancing activity also reported; reported assay value(s): 0.2% (w/v)</x:v>
      </x:c>
      <x:c r="G18" s="21" t="str">
        <x:v>Flammulina filiformis</x:v>
      </x:c>
      <x:c r="H18" s="22" t="str">
        <x:v>10.1016/j.fbio.2026.108895</x:v>
      </x:c>
    </x:row>
    <x:row r="19" ht="32.400001525878906" hidden="0" customHeight="1">
      <x:c r="A19" s="34" t="n">
        <x:v>16</x:v>
      </x:c>
      <x:c r="B19" s="35" t="str">
        <x:v>ADHPF</x:v>
      </x:c>
      <x:c r="C19" s="35" t="n">
        <x:f>LEN(B19)</x:f>
        <x:v>5</x:v>
      </x:c>
      <x:c r="D19" s="35" t="n">
        <x:v>1</x:v>
      </x:c>
      <x:c r="E19" s="21" t="str">
        <x:v>Direct sensory evidence; synthetic/isolated peptide; sensory evaluation; electronic tongue; taste-threshold test; LC-MS/MS identification; molecular docking (supporting)</x:v>
      </x:c>
      <x:c r="F19" s="21" t="str">
        <x:v>salty; detailed assay response available in source record</x:v>
      </x:c>
      <x:c r="G19" s="21" t="str">
        <x:v>Tenebrio molitor protein</x:v>
      </x:c>
      <x:c r="H19" s="22" t="str">
        <x:v>10.1093/ijfood/vvag019</x:v>
      </x:c>
    </x:row>
    <x:row r="20" ht="32.400001525878906" hidden="0" customHeight="1">
      <x:c r="A20" s="34" t="n">
        <x:v>17</x:v>
      </x:c>
      <x:c r="B20" s="35" t="str">
        <x:v>ADYYL</x:v>
      </x:c>
      <x:c r="C20" s="35" t="n">
        <x:f>LEN(B20)</x:f>
        <x:v>5</x:v>
      </x:c>
      <x:c r="D20" s="35" t="n">
        <x:v>1</x:v>
      </x:c>
      <x:c r="E20" s="21" t="str">
        <x:v>Direct sensory evidence; synthetic/isolated peptide; sensory evaluation; electronic tongue; taste-threshold test; LC-MS/MS identification; molecular docking (supporting)</x:v>
      </x:c>
      <x:c r="F20" s="21" t="str">
        <x:v>salty; detailed assay response available in source record</x:v>
      </x:c>
      <x:c r="G20" s="21" t="str">
        <x:v>Tenebrio molitor protein</x:v>
      </x:c>
      <x:c r="H20" s="22" t="str">
        <x:v>10.1093/ijfood/vvag019</x:v>
      </x:c>
    </x:row>
    <x:row r="21" ht="32.400001525878906" hidden="0" customHeight="1">
      <x:c r="A21" s="34" t="n">
        <x:v>18</x:v>
      </x:c>
      <x:c r="B21" s="35" t="str">
        <x:v>SYHESPEL</x:v>
      </x:c>
      <x:c r="C21" s="35" t="n">
        <x:f>LEN(B21)</x:f>
        <x:v>8</x:v>
      </x:c>
      <x:c r="D21" s="35" t="n">
        <x:v>1</x:v>
      </x:c>
      <x:c r="E21" s="21" t="str">
        <x:v>Direct sensory evidence; synthetic/isolated peptide; sensory evaluation; electronic tongue; taste-threshold test; LC-MS/MS identification; molecular docking (supporting)</x:v>
      </x:c>
      <x:c r="F21" s="21" t="str">
        <x:v>salty; detailed assay response available in source record</x:v>
      </x:c>
      <x:c r="G21" s="21" t="str">
        <x:v>Tenebrio molitor protein</x:v>
      </x:c>
      <x:c r="H21" s="22" t="str">
        <x:v>10.1093/ijfood/vvag019</x:v>
      </x:c>
    </x:row>
    <x:row r="22" ht="32.400001525878906" hidden="0" customHeight="1">
      <x:c r="A22" s="34" t="n">
        <x:v>19</x:v>
      </x:c>
      <x:c r="B22" s="35" t="str">
        <x:v>VVDHPF</x:v>
      </x:c>
      <x:c r="C22" s="35" t="n">
        <x:f>LEN(B22)</x:f>
        <x:v>6</x:v>
      </x:c>
      <x:c r="D22" s="35" t="n">
        <x:v>1</x:v>
      </x:c>
      <x:c r="E22" s="21" t="str">
        <x:v>Direct sensory evidence; synthetic/isolated peptide; sensory evaluation; electronic tongue; taste-threshold test; LC-MS/MS identification; molecular docking (supporting)</x:v>
      </x:c>
      <x:c r="F22" s="21" t="str">
        <x:v>salty; detailed assay response available in source record</x:v>
      </x:c>
      <x:c r="G22" s="21" t="str">
        <x:v>Tenebrio molitor protein</x:v>
      </x:c>
      <x:c r="H22" s="22" t="str">
        <x:v>10.1093/ijfood/vvag019</x:v>
      </x:c>
    </x:row>
    <x:row r="23" ht="32.400001525878906" hidden="0" customHeight="1">
      <x:c r="A23" s="34" t="n">
        <x:v>20</x:v>
      </x:c>
      <x:c r="B23" s="35" t="str">
        <x:v>AEADEFEDK</x:v>
      </x:c>
      <x:c r="C23" s="35" t="n">
        <x:f>LEN(B23)</x:f>
        <x:v>9</x:v>
      </x:c>
      <x:c r="D23" s="35" t="n">
        <x:v>1</x:v>
      </x:c>
      <x:c r="E23" s="21" t="str">
        <x:v>Direct sensory evidence; synthetic/isolated peptide; sensory evaluation; electronic tongue; taste-threshold test; LC-MS/MS identification; molecular docking (supporting)</x:v>
      </x:c>
      <x:c r="F23" s="21" t="str">
        <x:v>salty; reported assay value(s): 1 mg/mL</x:v>
      </x:c>
      <x:c r="G23" s="21" t="str">
        <x:v>Not reported</x:v>
      </x:c>
      <x:c r="H23" s="22" t="str">
        <x:v>10.1016/j.foodchem.2026.150426</x:v>
      </x:c>
    </x:row>
    <x:row r="24" ht="32.400001525878906" hidden="0" customHeight="1">
      <x:c r="A24" s="34" t="n">
        <x:v>21</x:v>
      </x:c>
      <x:c r="B24" s="35" t="str">
        <x:v>WPEVGSF</x:v>
      </x:c>
      <x:c r="C24" s="35" t="n">
        <x:f>LEN(B24)</x:f>
        <x:v>7</x:v>
      </x:c>
      <x:c r="D24" s="35" t="n">
        <x:v>1</x:v>
      </x:c>
      <x:c r="E24" s="21" t="str">
        <x:v>Direct sensory evidence; synthetic/isolated peptide; sensory evaluation; electronic tongue; taste-threshold test; LC-MS/MS identification; molecular docking (supporting)</x:v>
      </x:c>
      <x:c r="F24" s="21" t="str">
        <x:v>salty; reported assay value(s): 1 mg/mL</x:v>
      </x:c>
      <x:c r="G24" s="21" t="str">
        <x:v>Not reported</x:v>
      </x:c>
      <x:c r="H24" s="22" t="str">
        <x:v>10.1016/j.foodchem.2026.150426</x:v>
      </x:c>
    </x:row>
    <x:row r="25" ht="32.400001525878906" hidden="0" customHeight="1">
      <x:c r="A25" s="34" t="n">
        <x:v>22</x:v>
      </x:c>
      <x:c r="B25" s="35" t="str">
        <x:v>ADHDLPF</x:v>
      </x:c>
      <x:c r="C25" s="35" t="n">
        <x:f>LEN(B25)</x:f>
        <x:v>7</x:v>
      </x:c>
      <x:c r="D25" s="35" t="n">
        <x:v>1</x:v>
      </x:c>
      <x:c r="E25" s="21" t="str">
        <x:v>Literature-derived secondary evidence; sensory evaluation</x:v>
      </x:c>
      <x:c r="F25" s="21" t="str">
        <x:v>salty</x:v>
      </x:c>
      <x:c r="G25" s="21" t="str">
        <x:v>Lentinula edodes; Enzymatic extract of shiitake mushroom; Lentinula edodes enzymatic hydrolysate; Mushroom</x:v>
      </x:c>
      <x:c r="H25" s="22" t="str">
        <x:v>Current_curated; TastePeptidesDB; 10.1080/10408398.2025.2547284; 10.1016/j.fufo.2026.100930; lwt.2023.115430</x:v>
      </x:c>
    </x:row>
    <x:row r="26" ht="32.400001525878906" hidden="0" customHeight="1">
      <x:c r="A26" s="34" t="n">
        <x:v>23</x:v>
      </x:c>
      <x:c r="B26" s="35" t="str">
        <x:v>DEPLIVW</x:v>
      </x:c>
      <x:c r="C26" s="35" t="n">
        <x:f>LEN(B26)</x:f>
        <x:v>7</x:v>
      </x:c>
      <x:c r="D26" s="35" t="n">
        <x:v>1</x:v>
      </x:c>
      <x:c r="E26" s="21" t="str">
        <x:v>Literature-derived secondary evidence; sensory evaluation</x:v>
      </x:c>
      <x:c r="F26" s="21" t="str">
        <x:v>salty</x:v>
      </x:c>
      <x:c r="G26" s="21" t="str">
        <x:v>Lentinula edodes; Enzymatic extract of shiitake mushroom; Lentinula edodes enzymatic hydrolysate; Mushroom</x:v>
      </x:c>
      <x:c r="H26" s="22" t="str">
        <x:v>Current_curated; TastePeptidesDB; 10.1080/10408398.2025.2547284; 10.1016/j.fufo.2026.100930; lwt.2023.115430</x:v>
      </x:c>
    </x:row>
    <x:row r="27" ht="32.400001525878906" hidden="0" customHeight="1">
      <x:c r="A27" s="34" t="n">
        <x:v>24</x:v>
      </x:c>
      <x:c r="B27" s="35" t="str">
        <x:v>DIQPEER</x:v>
      </x:c>
      <x:c r="C27" s="35" t="n">
        <x:f>LEN(B27)</x:f>
        <x:v>7</x:v>
      </x:c>
      <x:c r="D27" s="35" t="n">
        <x:v>1</x:v>
      </x:c>
      <x:c r="E27" s="21" t="str">
        <x:v>Literature-derived secondary evidence; sensory evaluation</x:v>
      </x:c>
      <x:c r="F27" s="21" t="str">
        <x:v>salty; detailed assay response available in source record</x:v>
      </x:c>
      <x:c r="G27" s="21" t="str">
        <x:v>Lentinula edodes; Lentinus edodes enzymolysis extract; Enzymatic extract of shiitake mushroom; Lentinula edodes enzymatic hydrolysate; Mushroom</x:v>
      </x:c>
      <x:c r="H27" s="22" t="str">
        <x:v>Current_curated; TastePeptidesDB; 10.1080/10408398.2025.2547284; 10.1016/j.fufo.2026.100930; lwt.2023.115430</x:v>
      </x:c>
    </x:row>
    <x:row r="28" ht="32.400001525878906" hidden="0" customHeight="1">
      <x:c r="A28" s="34" t="n">
        <x:v>25</x:v>
      </x:c>
      <x:c r="B28" s="35" t="str">
        <x:v>DP</x:v>
      </x:c>
      <x:c r="C28" s="35" t="n">
        <x:f>LEN(B28)</x:f>
        <x:v>2</x:v>
      </x:c>
      <x:c r="D28" s="35" t="n">
        <x:v>1</x:v>
      </x:c>
      <x:c r="E28" s="21" t="str">
        <x:v>Direct sensory evidence; synthetic/isolated peptide; sensory evaluation; electronic tongue; taste-threshold test; LC-MS/MS identification; molecular docking (supporting)</x:v>
      </x:c>
      <x:c r="F28" s="21" t="str">
        <x:v>salty, umami; reported assay value(s): 35%, 76.85%, 77.28%, 73.72%</x:v>
      </x:c>
      <x:c r="G28" s="21" t="str">
        <x:v>bovine bone hydrolysate; Bovine; Machine Learning; bovine bone enzymatic hydrolysate</x:v>
      </x:c>
      <x:c r="H28" s="22" t="str">
        <x:v>Current_curated; TastePeptidesDB; 10.1080/10408398.2025.2547284; 10.1016/j.foodchem.2024.141552</x:v>
      </x:c>
    </x:row>
    <x:row r="29" ht="43.20000076293945" hidden="0" customHeight="1">
      <x:c r="A29" s="34" t="n">
        <x:v>26</x:v>
      </x:c>
      <x:c r="B29" s="35" t="str">
        <x:v>DR</x:v>
      </x:c>
      <x:c r="C29" s="35" t="n">
        <x:f>LEN(B29)</x:f>
        <x:v>2</x:v>
      </x:c>
      <x:c r="D29" s="35" t="n">
        <x:v>1</x:v>
      </x:c>
      <x:c r="E29" s="21" t="str">
        <x:v>Direct sensory evidence; synthetic/isolated peptide; sensory evaluation; electronic tongue; taste-threshold test; LC-MS/MS identification; taste-cell assay; molecular docking (supporting)</x:v>
      </x:c>
      <x:c r="F29" s="21" t="str">
        <x:v>salty, umami, bitter, astringent; reported assay value(s): 0.3%, 35%, 76.85%, 77.28%</x:v>
      </x:c>
      <x:c r="G29" s="21" t="str">
        <x:v>bovine bone hydrolysate; oyster enzymatic hydrolysate; Ostrea enzymatic extract; Bovine; Mackerels; Oyster; Sauce</x:v>
      </x:c>
      <x:c r="H29" s="22" t="str">
        <x:v>TastePeptidesDB; 10.1080/10408398.2025.2547284; 10.1016/j.foodchem.2024.141552; 10.1016/j.foodres.2024.114966; 10.1016/j.fufo.2026.100930</x:v>
      </x:c>
    </x:row>
    <x:row r="30" ht="32.400001525878906" hidden="0" customHeight="1">
      <x:c r="A30" s="34" t="n">
        <x:v>27</x:v>
      </x:c>
      <x:c r="B30" s="35" t="str">
        <x:v>LPDEPSR</x:v>
      </x:c>
      <x:c r="C30" s="35" t="n">
        <x:f>LEN(B30)</x:f>
        <x:v>7</x:v>
      </x:c>
      <x:c r="D30" s="35" t="n">
        <x:v>1</x:v>
      </x:c>
      <x:c r="E30" s="21" t="str">
        <x:v>Literature-derived secondary evidence; sensory evaluation</x:v>
      </x:c>
      <x:c r="F30" s="21" t="str">
        <x:v>salty</x:v>
      </x:c>
      <x:c r="G30" s="21" t="str">
        <x:v>Lentinula edodes; Enzymatic extract of shiitake mushroom; Lentinula edodes enzymatic hydrolysate; Mushroom</x:v>
      </x:c>
      <x:c r="H30" s="22" t="str">
        <x:v>Current_curated; TastePeptidesDB; 10.1080/10408398.2025.2547284; 10.1016/j.fufo.2026.100930; lwt.2023.115430</x:v>
      </x:c>
    </x:row>
    <x:row r="31" ht="32.400001525878906" hidden="0" customHeight="1">
      <x:c r="A31" s="34" t="n">
        <x:v>28</x:v>
      </x:c>
      <x:c r="B31" s="35" t="str">
        <x:v>RE</x:v>
      </x:c>
      <x:c r="C31" s="35" t="n">
        <x:f>LEN(B31)</x:f>
        <x:v>2</x:v>
      </x:c>
      <x:c r="D31" s="35" t="n">
        <x:v>1</x:v>
      </x:c>
      <x:c r="E31" s="21" t="str">
        <x:v>Direct sensory evidence; synthetic/isolated peptide; sensory evaluation; electronic tongue; taste-threshold test; LC-MS/MS identification; molecular docking (supporting)</x:v>
      </x:c>
      <x:c r="F31" s="21" t="str">
        <x:v>salty; reported assay value(s): 0.3%, 35%, 76.85%, 77.28%</x:v>
      </x:c>
      <x:c r="G31" s="21" t="str">
        <x:v>bovine bone hydrolysate; Bovine</x:v>
      </x:c>
      <x:c r="H31" s="22" t="str">
        <x:v>TastePeptidesDB; 10.1080/10408398.2025.2547284; 10.1016/j.foodchem.2024.141552</x:v>
      </x:c>
    </x:row>
    <x:row r="32" ht="54" hidden="0" customHeight="1">
      <x:c r="A32" s="34" t="n">
        <x:v>29</x:v>
      </x:c>
      <x:c r="B32" s="35" t="str">
        <x:v>DD</x:v>
      </x:c>
      <x:c r="C32" s="35" t="n">
        <x:f>LEN(B32)</x:f>
        <x:v>2</x:v>
      </x:c>
      <x:c r="D32" s="35" t="n">
        <x:v>1</x:v>
      </x:c>
      <x:c r="E32" s="21" t="str">
        <x:v>Direct sensory evidence; synthetic/isolated peptide; sensory evaluation; electronic tongue; taste-threshold test; LC-MS/MS identification</x:v>
      </x:c>
      <x:c r="F32" s="21" t="str">
        <x:v>salty, umami, sour; salt-enhancing activity also reported; reported assay value(s): 4.79 mM, 3.33 mM</x:v>
      </x:c>
      <x:c r="G32" s="21" t="str">
        <x:v>yeast extract; mixed food-protein s; yeast extract (FA31 Angel Yeast); neutral sodium salts of synthetic acidic di-/tripeptides (pH 6); (Yeast extract); Pectinida; Yeast</x:v>
      </x:c>
      <x:c r="H32" s="22" t="str">
        <x:v>Current_curated; TastePeptidesDB; BIOPEP-UWM; 10.1016/j.fufo.2026.100930; 10.1002/fsh3.12055; 10.1016/j.meatsci.2023.109261; 10.1016/j.tifs.2022.11.; 10.1007/s13197--04836-1; 10.1271/bbb.59.; s13197--04836-1; abc.1989.10869317</x:v>
      </x:c>
    </x:row>
    <x:row r="33" ht="32.400001525878906" hidden="0" customHeight="1">
      <x:c r="A33" s="34" t="n">
        <x:v>30</x:v>
      </x:c>
      <x:c r="B33" s="35" t="str">
        <x:v>DE</x:v>
      </x:c>
      <x:c r="C33" s="35" t="n">
        <x:f>LEN(B33)</x:f>
        <x:v>2</x:v>
      </x:c>
      <x:c r="D33" s="35" t="n">
        <x:v>1</x:v>
      </x:c>
      <x:c r="E33" s="21" t="str">
        <x:v>Direct sensory evidence; synthetic/isolated peptide; sensory evaluation; electronic tongue; taste-threshold test</x:v>
      </x:c>
      <x:c r="F33" s="21" t="str">
        <x:v>salty, umami; salt-enhancing activity also reported; reported assay value(s): 53 mM, 35 mM, 3.32 mM</x:v>
      </x:c>
      <x:c r="G33" s="21" t="str">
        <x:v>Seaweeds; mixed food-protein s; neutral sodium salts of synthetic acidic di-/tripeptides (pH 6); Pectinida</x:v>
      </x:c>
      <x:c r="H33" s="22" t="str">
        <x:v>TastePeptidesDB; BIOPEP-UWM; 10.1016/j.fufo.2026.100930; 10.1016/j.meatsci.2023.109261; 10.1271/bbb.59.</x:v>
      </x:c>
    </x:row>
    <x:row r="34" ht="21.600000381469727" hidden="0" customHeight="1">
      <x:c r="A34" s="34" t="n">
        <x:v>31</x:v>
      </x:c>
      <x:c r="B34" s="35" t="str">
        <x:v>EAGIQ</x:v>
      </x:c>
      <x:c r="C34" s="35" t="n">
        <x:f>LEN(B34)</x:f>
        <x:v>5</x:v>
      </x:c>
      <x:c r="D34" s="35" t="n">
        <x:v>1</x:v>
      </x:c>
      <x:c r="E34" s="21" t="str">
        <x:v>Literature-derived secondary evidence; literature-reported taste evidence</x:v>
      </x:c>
      <x:c r="F34" s="21" t="str">
        <x:v>salty, umami</x:v>
      </x:c>
      <x:c r="G34" s="21" t="str">
        <x:v>soy sauce/douchi; Soy sauce, Douchi; Pectinida; Sauce</x:v>
      </x:c>
      <x:c r="H34" s="22" t="str">
        <x:v>TastePeptidesDB; 10.1016/j.fufo.2026.100930</x:v>
      </x:c>
    </x:row>
    <x:row r="35" ht="21.600000381469727" hidden="0" customHeight="1">
      <x:c r="A35" s="34" t="n">
        <x:v>32</x:v>
      </x:c>
      <x:c r="B35" s="35" t="str">
        <x:v>EDEGEQPRPF</x:v>
      </x:c>
      <x:c r="C35" s="35" t="n">
        <x:f>LEN(B35)</x:f>
        <x:v>10</x:v>
      </x:c>
      <x:c r="D35" s="35" t="n">
        <x:v>1</x:v>
      </x:c>
      <x:c r="E35" s="21" t="str">
        <x:v>Literature-derived secondary evidence; literature-reported taste evidence</x:v>
      </x:c>
      <x:c r="F35" s="21" t="str">
        <x:v>salty, umami</x:v>
      </x:c>
      <x:c r="G35" s="21" t="str">
        <x:v>commercial soybean products; (Commercial soybeans; Soybean Curds; fermented soybean curd</x:v>
      </x:c>
      <x:c r="H35" s="22" t="str">
        <x:v>Current_curated; TastePeptidesDB; 10.1016/j.fufo.2026.100930; jafc.2021.1c03431</x:v>
      </x:c>
    </x:row>
    <x:row r="36" ht="21.600000381469727" hidden="0" customHeight="1">
      <x:c r="A36" s="34" t="n">
        <x:v>33</x:v>
      </x:c>
      <x:c r="B36" s="35" t="str">
        <x:v>HAYNLRVD</x:v>
      </x:c>
      <x:c r="C36" s="35" t="n">
        <x:f>LEN(B36)</x:f>
        <x:v>8</x:v>
      </x:c>
      <x:c r="D36" s="35" t="n">
        <x:v>1</x:v>
      </x:c>
      <x:c r="E36" s="21" t="str">
        <x:v>Literature-derived secondary evidence; literature-reported taste evidence</x:v>
      </x:c>
      <x:c r="F36" s="21" t="str">
        <x:v>salty</x:v>
      </x:c>
      <x:c r="G36" s="21" t="str">
        <x:v>fermented goose blood; (Isolation and extraction of fermented goose blood from Lactobacillus plant strains)</x:v>
      </x:c>
      <x:c r="H36" s="22" t="str">
        <x:v>10.1016/j.fufo.2026.100930</x:v>
      </x:c>
    </x:row>
    <x:row r="37" ht="21.600000381469727" hidden="0" customHeight="1">
      <x:c r="A37" s="34" t="n">
        <x:v>34</x:v>
      </x:c>
      <x:c r="B37" s="35" t="str">
        <x:v>HL</x:v>
      </x:c>
      <x:c r="C37" s="35" t="n">
        <x:f>LEN(B37)</x:f>
        <x:v>2</x:v>
      </x:c>
      <x:c r="D37" s="35" t="n">
        <x:v>1</x:v>
      </x:c>
      <x:c r="E37" s="21" t="str">
        <x:v>Literature-derived secondary evidence; literature-reported taste evidence</x:v>
      </x:c>
      <x:c r="F37" s="21" t="str">
        <x:v>salty</x:v>
      </x:c>
      <x:c r="G37" s="21" t="str">
        <x:v>soy sauce; (Soy sauce)</x:v>
      </x:c>
      <x:c r="H37" s="22" t="str">
        <x:v>10.1016/j.fufo.2026.100930</x:v>
      </x:c>
    </x:row>
    <x:row r="38" ht="21.600000381469727" hidden="0" customHeight="1">
      <x:c r="A38" s="34" t="n">
        <x:v>35</x:v>
      </x:c>
      <x:c r="B38" s="35" t="str">
        <x:v>IF</x:v>
      </x:c>
      <x:c r="C38" s="35" t="n">
        <x:f>LEN(B38)</x:f>
        <x:v>2</x:v>
      </x:c>
      <x:c r="D38" s="35" t="n">
        <x:v>1</x:v>
      </x:c>
      <x:c r="E38" s="21" t="str">
        <x:v>Literature-derived secondary evidence; literature-reported taste evidence</x:v>
      </x:c>
      <x:c r="F38" s="21" t="str">
        <x:v>salty</x:v>
      </x:c>
      <x:c r="G38" s="21" t="str">
        <x:v>salt-free soy sauce; (Salty-free soy sauce)</x:v>
      </x:c>
      <x:c r="H38" s="22" t="str">
        <x:v>10.1016/j.fufo.2026.100930</x:v>
      </x:c>
    </x:row>
    <x:row r="39" ht="21.600000381469727" hidden="0" customHeight="1">
      <x:c r="A39" s="34" t="n">
        <x:v>36</x:v>
      </x:c>
      <x:c r="B39" s="35" t="str">
        <x:v>IPKF</x:v>
      </x:c>
      <x:c r="C39" s="35" t="n">
        <x:f>LEN(B39)</x:f>
        <x:v>4</x:v>
      </x:c>
      <x:c r="D39" s="35" t="n">
        <x:v>1</x:v>
      </x:c>
      <x:c r="E39" s="21" t="str">
        <x:v>Literature-derived secondary evidence; literature-reported taste evidence</x:v>
      </x:c>
      <x:c r="F39" s="21" t="str">
        <x:v>salty</x:v>
      </x:c>
      <x:c r="G39" s="21" t="str">
        <x:v>soy protein isolate; Soy protein isolate)</x:v>
      </x:c>
      <x:c r="H39" s="22" t="str">
        <x:v>10.1016/j.fufo.2026.100930</x:v>
      </x:c>
    </x:row>
    <x:row r="40" ht="21.600000381469727" hidden="0" customHeight="1">
      <x:c r="A40" s="34" t="n">
        <x:v>37</x:v>
      </x:c>
      <x:c r="B40" s="35" t="str">
        <x:v>IQ</x:v>
      </x:c>
      <x:c r="C40" s="35" t="n">
        <x:f>LEN(B40)</x:f>
        <x:v>2</x:v>
      </x:c>
      <x:c r="D40" s="35" t="n">
        <x:v>1</x:v>
      </x:c>
      <x:c r="E40" s="21" t="str">
        <x:v>Literature-derived secondary evidence; literature-reported taste evidence</x:v>
      </x:c>
      <x:c r="F40" s="21" t="str">
        <x:v>salty; salt-enhancing activity also reported; detailed assay response available in source record</x:v>
      </x:c>
      <x:c r="G40" s="21" t="str">
        <x:v>soy sauce; (Soy sauce)</x:v>
      </x:c>
      <x:c r="H40" s="22" t="str">
        <x:v>10.1016/j.fufo.2026.100930; 10.1016/j.tifs.2022.11.</x:v>
      </x:c>
    </x:row>
    <x:row r="41" ht="32.400001525878906" hidden="0" customHeight="1">
      <x:c r="A41" s="34" t="n">
        <x:v>38</x:v>
      </x:c>
      <x:c r="B41" s="35" t="str">
        <x:v>KER</x:v>
      </x:c>
      <x:c r="C41" s="35" t="n">
        <x:f>LEN(B41)</x:f>
        <x:v>3</x:v>
      </x:c>
      <x:c r="D41" s="35" t="n">
        <x:v>1</x:v>
      </x:c>
      <x:c r="E41" s="21" t="str">
        <x:v>Direct sensory evidence; synthetic/isolated peptide; sensory evaluation; electronic tongue; taste-threshold test; molecular docking (supporting)</x:v>
      </x:c>
      <x:c r="F41" s="21" t="str">
        <x:v>salty; salt-enhancing activity also reported; reported assay value(s): 65.26 %</x:v>
      </x:c>
      <x:c r="G41" s="21" t="str">
        <x:v>bovine bone; bovine bone protein</x:v>
      </x:c>
      <x:c r="H41" s="22" t="str">
        <x:v>10.1016/j.fufo.2026.100930; 10.1016/j.foodchem.2024.139035</x:v>
      </x:c>
    </x:row>
    <x:row r="42" ht="21.600000381469727" hidden="0" customHeight="1">
      <x:c r="A42" s="34" t="n">
        <x:v>39</x:v>
      </x:c>
      <x:c r="B42" s="35" t="str">
        <x:v>KGDESLLA</x:v>
      </x:c>
      <x:c r="C42" s="35" t="n">
        <x:f>LEN(B42)</x:f>
        <x:v>8</x:v>
      </x:c>
      <x:c r="D42" s="35" t="n">
        <x:v>1</x:v>
      </x:c>
      <x:c r="E42" s="21" t="str">
        <x:v>Literature-derived secondary evidence; literature-reported taste evidence</x:v>
      </x:c>
      <x:c r="F42" s="21" t="str">
        <x:v>salty</x:v>
      </x:c>
      <x:c r="G42" s="21" t="str">
        <x:v>beef soup</x:v>
      </x:c>
      <x:c r="H42" s="22" t="str">
        <x:v>10.1016/j.fufo.2026.100930</x:v>
      </x:c>
    </x:row>
    <x:row r="43" ht="43.20000076293945" hidden="0" customHeight="1">
      <x:c r="A43" s="34" t="n">
        <x:v>40</x:v>
      </x:c>
      <x:c r="B43" s="35" t="str">
        <x:v>LEY</x:v>
      </x:c>
      <x:c r="C43" s="35" t="n">
        <x:f>LEN(B43)</x:f>
        <x:v>3</x:v>
      </x:c>
      <x:c r="D43" s="35" t="n">
        <x:v>1</x:v>
      </x:c>
      <x:c r="E43" s="21" t="str">
        <x:v>Direct sensory evidence; synthetic/isolated peptide; sensory evaluation; electronic tongue; LC-MS/MS identification; taste-cell assay; molecular docking (supporting)</x:v>
      </x:c>
      <x:c r="F43" s="21" t="str">
        <x:v>salty; detailed assay response available in source record</x:v>
      </x:c>
      <x:c r="G43" s="21" t="str">
        <x:v>oyster enzymatic extract; oyster enzymatic hydrolysate; Ostrea enzymatic extract; Oyster</x:v>
      </x:c>
      <x:c r="H43" s="22" t="str">
        <x:v>TastePeptidesDB; 10.1016/j.fufo.2026.100930; 10.1016/j.foodres.2024.114966</x:v>
      </x:c>
    </x:row>
    <x:row r="44" ht="21.600000381469727" hidden="0" customHeight="1">
      <x:c r="A44" s="34" t="n">
        <x:v>41</x:v>
      </x:c>
      <x:c r="B44" s="35" t="str">
        <x:v>RF</x:v>
      </x:c>
      <x:c r="C44" s="35" t="n">
        <x:f>LEN(B44)</x:f>
        <x:v>2</x:v>
      </x:c>
      <x:c r="D44" s="35" t="n">
        <x:v>1</x:v>
      </x:c>
      <x:c r="E44" s="21" t="str">
        <x:v>Literature-derived secondary evidence; literature-reported taste evidence</x:v>
      </x:c>
      <x:c r="F44" s="21" t="str">
        <x:v>salty</x:v>
      </x:c>
      <x:c r="G44" s="21" t="str">
        <x:v>salt-free soy sauce; (Salty-free soy sauce)</x:v>
      </x:c>
      <x:c r="H44" s="22" t="str">
        <x:v>10.1016/j.fufo.2026.100930</x:v>
      </x:c>
    </x:row>
    <x:row r="45" ht="32.400001525878906" hidden="0" customHeight="1">
      <x:c r="A45" s="34" t="n">
        <x:v>42</x:v>
      </x:c>
      <x:c r="B45" s="35" t="str">
        <x:v>HKEMPFPKYPVEP</x:v>
      </x:c>
      <x:c r="C45" s="35" t="n">
        <x:f>LEN(B45)</x:f>
        <x:v>13</x:v>
      </x:c>
      <x:c r="D45" s="35" t="n">
        <x:v>1</x:v>
      </x:c>
      <x:c r="E45" s="21" t="str">
        <x:v>Direct sensory evidence; synthetic/isolated peptide; sensory evaluation; electronic tongue; taste-threshold test; LC-MS/MS identification</x:v>
      </x:c>
      <x:c r="F45" s="21" t="str">
        <x:v>salty, umami, sour, bitter, kokumi; detailed assay response available in source record</x:v>
      </x:c>
      <x:c r="G45" s="21" t="str">
        <x:v>Inner Mongolian cheese; β-casein</x:v>
      </x:c>
      <x:c r="H45" s="22" t="str">
        <x:v>10.26599/fshw.2024.9250377</x:v>
      </x:c>
    </x:row>
    <x:row r="46" ht="32.400001525878906" hidden="0" customHeight="1">
      <x:c r="A46" s="34" t="n">
        <x:v>43</x:v>
      </x:c>
      <x:c r="B46" s="35" t="str">
        <x:v>ASTCMAR</x:v>
      </x:c>
      <x:c r="C46" s="35" t="n">
        <x:f>LEN(B46)</x:f>
        <x:v>7</x:v>
      </x:c>
      <x:c r="D46" s="35" t="n">
        <x:v>1</x:v>
      </x:c>
      <x:c r="E46" s="21" t="str">
        <x:v>Direct sensory evidence; synthetic/isolated peptide; sensory evaluation; electronic tongue; taste-threshold test; molecular docking (supporting)</x:v>
      </x:c>
      <x:c r="F46" s="21" t="str">
        <x:v>salty; salt-enhancing activity also reported; detailed assay response available in source record</x:v>
      </x:c>
      <x:c r="G46" s="21" t="str">
        <x:v>garlic protein</x:v>
      </x:c>
      <x:c r="H46" s="22" t="str">
        <x:v>10.1016/j.foodchem.2025.146138</x:v>
      </x:c>
    </x:row>
    <x:row r="47" ht="32.400001525878906" hidden="0" customHeight="1">
      <x:c r="A47" s="34" t="n">
        <x:v>44</x:v>
      </x:c>
      <x:c r="B47" s="35" t="str">
        <x:v>SASDPNF</x:v>
      </x:c>
      <x:c r="C47" s="35" t="n">
        <x:f>LEN(B47)</x:f>
        <x:v>7</x:v>
      </x:c>
      <x:c r="D47" s="35" t="n">
        <x:v>1</x:v>
      </x:c>
      <x:c r="E47" s="21" t="str">
        <x:v>Direct sensory evidence; synthetic/isolated peptide; sensory evaluation; electronic tongue; taste-threshold test; molecular docking (supporting)</x:v>
      </x:c>
      <x:c r="F47" s="21" t="str">
        <x:v>salty; salt-enhancing activity also reported; detailed assay response available in source record</x:v>
      </x:c>
      <x:c r="G47" s="21" t="str">
        <x:v>garlic protein</x:v>
      </x:c>
      <x:c r="H47" s="22" t="str">
        <x:v>10.1016/j.foodchem.2025.146138</x:v>
      </x:c>
    </x:row>
    <x:row r="48" ht="32.400001525878906" hidden="0" customHeight="1">
      <x:c r="A48" s="34" t="n">
        <x:v>45</x:v>
      </x:c>
      <x:c r="B48" s="35" t="str">
        <x:v>SNDPGR</x:v>
      </x:c>
      <x:c r="C48" s="35" t="n">
        <x:f>LEN(B48)</x:f>
        <x:v>6</x:v>
      </x:c>
      <x:c r="D48" s="35" t="n">
        <x:v>1</x:v>
      </x:c>
      <x:c r="E48" s="21" t="str">
        <x:v>Direct sensory evidence; synthetic/isolated peptide; sensory evaluation; electronic tongue; taste-threshold test; molecular docking (supporting)</x:v>
      </x:c>
      <x:c r="F48" s="21" t="str">
        <x:v>salty; salt-enhancing activity also reported; detailed assay response available in source record</x:v>
      </x:c>
      <x:c r="G48" s="21" t="str">
        <x:v>garlic protein</x:v>
      </x:c>
      <x:c r="H48" s="22" t="str">
        <x:v>10.1016/j.foodchem.2025.146138</x:v>
      </x:c>
    </x:row>
    <x:row r="49" ht="32.400001525878906" hidden="0" customHeight="1">
      <x:c r="A49" s="34" t="n">
        <x:v>46</x:v>
      </x:c>
      <x:c r="B49" s="35" t="str">
        <x:v>GERGPKGPKGETGPT</x:v>
      </x:c>
      <x:c r="C49" s="35" t="n">
        <x:f>LEN(B49)</x:f>
        <x:v>15</x:v>
      </x:c>
      <x:c r="D49" s="35" t="n">
        <x:v>1</x:v>
      </x:c>
      <x:c r="E49" s="21" t="str">
        <x:v>Direct sensory evidence; synthetic/isolated peptide; sensory evaluation; electronic tongue; taste-threshold test; LC-MS/MS identification</x:v>
      </x:c>
      <x:c r="F49" s="21" t="str">
        <x:v>salty, umami; salt-enhancing activity also reported; reported assay value(s): 0.35 %</x:v>
      </x:c>
      <x:c r="G49" s="21" t="str">
        <x:v>chicken-skin collagen hydrolysate</x:v>
      </x:c>
      <x:c r="H49" s="22" t="str">
        <x:v>10.1016/j.foodchem.2025.145282</x:v>
      </x:c>
    </x:row>
    <x:row r="50" ht="32.400001525878906" hidden="0" customHeight="1">
      <x:c r="A50" s="34" t="n">
        <x:v>47</x:v>
      </x:c>
      <x:c r="B50" s="35" t="str">
        <x:v>GPPGPTGPAGER</x:v>
      </x:c>
      <x:c r="C50" s="35" t="n">
        <x:f>LEN(B50)</x:f>
        <x:v>12</x:v>
      </x:c>
      <x:c r="D50" s="35" t="n">
        <x:v>1</x:v>
      </x:c>
      <x:c r="E50" s="21" t="str">
        <x:v>Direct sensory evidence; synthetic/isolated peptide; sensory evaluation; electronic tongue; taste-threshold test; LC-MS/MS identification</x:v>
      </x:c>
      <x:c r="F50" s="21" t="str">
        <x:v>salty, umami; salt-enhancing activity also reported; reported assay value(s): 0.35 %</x:v>
      </x:c>
      <x:c r="G50" s="21" t="str">
        <x:v>chicken-skin collagen hydrolysate</x:v>
      </x:c>
      <x:c r="H50" s="22" t="str">
        <x:v>10.1016/j.foodchem.2025.145282</x:v>
      </x:c>
    </x:row>
    <x:row r="51" ht="32.400001525878906" hidden="0" customHeight="1">
      <x:c r="A51" s="34" t="n">
        <x:v>48</x:v>
      </x:c>
      <x:c r="B51" s="35" t="str">
        <x:v>VAESNK</x:v>
      </x:c>
      <x:c r="C51" s="35" t="n">
        <x:f>LEN(B51)</x:f>
        <x:v>6</x:v>
      </x:c>
      <x:c r="D51" s="35" t="n">
        <x:v>1</x:v>
      </x:c>
      <x:c r="E51" s="21" t="str">
        <x:v>Direct sensory evidence; synthetic/isolated peptide; sensory evaluation; electronic tongue; taste-cell assay; molecular docking (supporting)</x:v>
      </x:c>
      <x:c r="F51" s="21" t="str">
        <x:v>salty; salt-enhancing activity also reported; detailed assay response available in source record</x:v>
      </x:c>
      <x:c r="G51" s="21" t="str">
        <x:v>spirulina (Arthrospira platensis) phycocyanin</x:v>
      </x:c>
      <x:c r="H51" s="22" t="str">
        <x:v>10.1016/j.fbio.2025.106213</x:v>
      </x:c>
    </x:row>
    <x:row r="52" ht="32.400001525878906" hidden="0" customHeight="1">
      <x:c r="A52" s="34" t="n">
        <x:v>49</x:v>
      </x:c>
      <x:c r="B52" s="35" t="str">
        <x:v>VVSQADTR</x:v>
      </x:c>
      <x:c r="C52" s="35" t="n">
        <x:f>LEN(B52)</x:f>
        <x:v>8</x:v>
      </x:c>
      <x:c r="D52" s="35" t="n">
        <x:v>1</x:v>
      </x:c>
      <x:c r="E52" s="21" t="str">
        <x:v>Direct sensory evidence; synthetic/isolated peptide; sensory evaluation; electronic tongue; taste-cell assay; molecular docking (supporting)</x:v>
      </x:c>
      <x:c r="F52" s="21" t="str">
        <x:v>salty; salt-enhancing activity also reported; detailed assay response available in source record</x:v>
      </x:c>
      <x:c r="G52" s="21" t="str">
        <x:v>spirulina (Arthrospira platensis) phycocyanin</x:v>
      </x:c>
      <x:c r="H52" s="22" t="str">
        <x:v>10.1016/j.fbio.2025.106213</x:v>
      </x:c>
    </x:row>
    <x:row r="53" ht="32.400001525878906" hidden="0" customHeight="1">
      <x:c r="A53" s="34" t="n">
        <x:v>50</x:v>
      </x:c>
      <x:c r="B53" s="35" t="str">
        <x:v>WDDVRGW</x:v>
      </x:c>
      <x:c r="C53" s="35" t="n">
        <x:f>LEN(B53)</x:f>
        <x:v>7</x:v>
      </x:c>
      <x:c r="D53" s="35" t="n">
        <x:v>1</x:v>
      </x:c>
      <x:c r="E53" s="21" t="str">
        <x:v>Direct sensory evidence; synthetic/isolated peptide; sensory evaluation; electronic tongue; taste-threshold test; LC-MS/MS identification; molecular docking (supporting)</x:v>
      </x:c>
      <x:c r="F53" s="21" t="str">
        <x:v>salty; salt-enhancing activity also reported</x:v>
      </x:c>
      <x:c r="G53" s="21" t="str">
        <x:v>Agaricus bisporus</x:v>
      </x:c>
      <x:c r="H53" s="22" t="str">
        <x:v>10.1021/acs.jafc.4c12851</x:v>
      </x:c>
    </x:row>
    <x:row r="54" ht="32.400001525878906" hidden="0" customHeight="1">
      <x:c r="A54" s="34" t="n">
        <x:v>51</x:v>
      </x:c>
      <x:c r="B54" s="35" t="str">
        <x:v>PQGDGW</x:v>
      </x:c>
      <x:c r="C54" s="35" t="n">
        <x:f>LEN(B54)</x:f>
        <x:v>6</x:v>
      </x:c>
      <x:c r="D54" s="35" t="n">
        <x:v>1</x:v>
      </x:c>
      <x:c r="E54" s="21" t="str">
        <x:v>Direct sensory evidence; synthetic/isolated peptide; sensory evaluation; electronic tongue; taste-threshold test; LC-MS/MS identification; molecular docking (supporting)</x:v>
      </x:c>
      <x:c r="F54" s="21" t="str">
        <x:v>salty; salt-enhancing activity also reported; reported assay value(s): 29 mmol/L, 0.1 %, 0.2 %, 0.02 % (w/v)</x:v>
      </x:c>
      <x:c r="G54" s="21" t="str">
        <x:v>Stropharia rugosoannulata protein hydrolysate</x:v>
      </x:c>
      <x:c r="H54" s="22" t="str">
        <x:v>10.1016/j.foodchem.2025.144646</x:v>
      </x:c>
    </x:row>
    <x:row r="55" ht="32.400001525878906" hidden="0" customHeight="1">
      <x:c r="A55" s="34" t="n">
        <x:v>52</x:v>
      </x:c>
      <x:c r="B55" s="35" t="str">
        <x:v>DDL</x:v>
      </x:c>
      <x:c r="C55" s="35" t="n">
        <x:f>LEN(B55)</x:f>
        <x:v>3</x:v>
      </x:c>
      <x:c r="D55" s="35" t="n">
        <x:v>1</x:v>
      </x:c>
      <x:c r="E55" s="21" t="str">
        <x:v>Direct sensory evidence; synthetic/isolated peptide; sensory evaluation; electronic tongue; taste-cell assay; molecular docking (supporting)</x:v>
      </x:c>
      <x:c r="F55" s="21" t="str">
        <x:v>salty; detailed assay response available in source record</x:v>
      </x:c>
      <x:c r="G55" s="21" t="str">
        <x:v>Litopenaeus vannamei shrimp head</x:v>
      </x:c>
      <x:c r="H55" s="22" t="str">
        <x:v>10.1016/j.foodchem.2025.146893</x:v>
      </x:c>
    </x:row>
    <x:row r="56" ht="32.400001525878906" hidden="0" customHeight="1">
      <x:c r="A56" s="34" t="n">
        <x:v>53</x:v>
      </x:c>
      <x:c r="B56" s="35" t="str">
        <x:v>DPS</x:v>
      </x:c>
      <x:c r="C56" s="35" t="n">
        <x:f>LEN(B56)</x:f>
        <x:v>3</x:v>
      </x:c>
      <x:c r="D56" s="35" t="n">
        <x:v>1</x:v>
      </x:c>
      <x:c r="E56" s="21" t="str">
        <x:v>Direct sensory evidence; synthetic/isolated peptide; sensory evaluation; electronic tongue; taste-cell assay; molecular docking (supporting)</x:v>
      </x:c>
      <x:c r="F56" s="21" t="str">
        <x:v>salty; detailed assay response available in source record</x:v>
      </x:c>
      <x:c r="G56" s="21" t="str">
        <x:v>Litopenaeus vannamei shrimp head</x:v>
      </x:c>
      <x:c r="H56" s="22" t="str">
        <x:v>10.1016/j.foodchem.2025.146893</x:v>
      </x:c>
    </x:row>
    <x:row r="57" ht="32.400001525878906" hidden="0" customHeight="1">
      <x:c r="A57" s="34" t="n">
        <x:v>54</x:v>
      </x:c>
      <x:c r="B57" s="35" t="str">
        <x:v>PM</x:v>
      </x:c>
      <x:c r="C57" s="35" t="n">
        <x:f>LEN(B57)</x:f>
        <x:v>2</x:v>
      </x:c>
      <x:c r="D57" s="35" t="n">
        <x:v>1</x:v>
      </x:c>
      <x:c r="E57" s="21" t="str">
        <x:v>Direct sensory evidence; synthetic/isolated peptide; sensory evaluation; electronic tongue; taste-cell assay; molecular docking (supporting)</x:v>
      </x:c>
      <x:c r="F57" s="21" t="str">
        <x:v>salty; detailed assay response available in source record</x:v>
      </x:c>
      <x:c r="G57" s="21" t="str">
        <x:v>Litopenaeus vannamei shrimp head</x:v>
      </x:c>
      <x:c r="H57" s="22" t="str">
        <x:v>10.1016/j.foodchem.2025.146893</x:v>
      </x:c>
    </x:row>
    <x:row r="58" ht="32.400001525878906" hidden="0" customHeight="1">
      <x:c r="A58" s="34" t="n">
        <x:v>55</x:v>
      </x:c>
      <x:c r="B58" s="35" t="str">
        <x:v>TVT</x:v>
      </x:c>
      <x:c r="C58" s="35" t="n">
        <x:f>LEN(B58)</x:f>
        <x:v>3</x:v>
      </x:c>
      <x:c r="D58" s="35" t="n">
        <x:v>1</x:v>
      </x:c>
      <x:c r="E58" s="21" t="str">
        <x:v>Direct sensory evidence; synthetic/isolated peptide; sensory evaluation; electronic tongue; taste-cell assay; molecular docking (supporting)</x:v>
      </x:c>
      <x:c r="F58" s="21" t="str">
        <x:v>salty; detailed assay response available in source record</x:v>
      </x:c>
      <x:c r="G58" s="21" t="str">
        <x:v>Litopenaeus vannamei shrimp head</x:v>
      </x:c>
      <x:c r="H58" s="22" t="str">
        <x:v>10.1016/j.foodchem.2025.146893</x:v>
      </x:c>
    </x:row>
    <x:row r="59" ht="32.400001525878906" hidden="0" customHeight="1">
      <x:c r="A59" s="34" t="n">
        <x:v>56</x:v>
      </x:c>
      <x:c r="B59" s="35" t="str">
        <x:v>VM</x:v>
      </x:c>
      <x:c r="C59" s="35" t="n">
        <x:f>LEN(B59)</x:f>
        <x:v>2</x:v>
      </x:c>
      <x:c r="D59" s="35" t="n">
        <x:v>1</x:v>
      </x:c>
      <x:c r="E59" s="21" t="str">
        <x:v>Direct sensory evidence; synthetic/isolated peptide; sensory evaluation; electronic tongue; taste-cell assay; molecular docking (supporting)</x:v>
      </x:c>
      <x:c r="F59" s="21" t="str">
        <x:v>salty; detailed assay response available in source record</x:v>
      </x:c>
      <x:c r="G59" s="21" t="str">
        <x:v>Litopenaeus vannamei shrimp head</x:v>
      </x:c>
      <x:c r="H59" s="22" t="str">
        <x:v>10.1016/j.foodchem.2025.146893</x:v>
      </x:c>
    </x:row>
    <x:row r="60" ht="32.400001525878906" hidden="0" customHeight="1">
      <x:c r="A60" s="34" t="n">
        <x:v>57</x:v>
      </x:c>
      <x:c r="B60" s="35" t="str">
        <x:v>EDFLLA</x:v>
      </x:c>
      <x:c r="C60" s="35" t="n">
        <x:f>LEN(B60)</x:f>
        <x:v>6</x:v>
      </x:c>
      <x:c r="D60" s="35" t="n">
        <x:v>1</x:v>
      </x:c>
      <x:c r="E60" s="21" t="str">
        <x:v>Direct sensory evidence; synthetic/isolated peptide; sensory evaluation; electronic tongue; taste-threshold test; LC-MS/MS identification; molecular docking (supporting)</x:v>
      </x:c>
      <x:c r="F60" s="21" t="str">
        <x:v>salty; detailed assay response available in source record</x:v>
      </x:c>
      <x:c r="G60" s="21" t="str">
        <x:v>Meretrix lyrata enzymatic hydrolysate</x:v>
      </x:c>
      <x:c r="H60" s="22" t="str">
        <x:v>Current_curated; 10.1016/j.foodres.2025.116930</x:v>
      </x:c>
    </x:row>
    <x:row r="61" ht="32.400001525878906" hidden="0" customHeight="1">
      <x:c r="A61" s="34" t="n">
        <x:v>58</x:v>
      </x:c>
      <x:c r="B61" s="35" t="str">
        <x:v>LALDWLAR</x:v>
      </x:c>
      <x:c r="C61" s="35" t="n">
        <x:f>LEN(B61)</x:f>
        <x:v>8</x:v>
      </x:c>
      <x:c r="D61" s="35" t="n">
        <x:v>1</x:v>
      </x:c>
      <x:c r="E61" s="21" t="str">
        <x:v>Direct sensory evidence; synthetic/isolated peptide; sensory evaluation; electronic tongue; taste-threshold test; LC-MS/MS identification; molecular docking (supporting)</x:v>
      </x:c>
      <x:c r="F61" s="21" t="str">
        <x:v>salty; reported assay value(s): 74%</x:v>
      </x:c>
      <x:c r="G61" s="21" t="str">
        <x:v>Meretrix lyrata enzymatic hydrolysate</x:v>
      </x:c>
      <x:c r="H61" s="22" t="str">
        <x:v>Current_curated; 10.1016/j.foodres.2025.116930</x:v>
      </x:c>
    </x:row>
    <x:row r="62" ht="32.400001525878906" hidden="0" customHeight="1">
      <x:c r="A62" s="34" t="n">
        <x:v>59</x:v>
      </x:c>
      <x:c r="B62" s="35" t="str">
        <x:v>TWDLL</x:v>
      </x:c>
      <x:c r="C62" s="35" t="n">
        <x:f>LEN(B62)</x:f>
        <x:v>5</x:v>
      </x:c>
      <x:c r="D62" s="35" t="n">
        <x:v>1</x:v>
      </x:c>
      <x:c r="E62" s="21" t="str">
        <x:v>Direct sensory evidence; synthetic/isolated peptide; sensory evaluation; electronic tongue; taste-threshold test; LC-MS/MS identification</x:v>
      </x:c>
      <x:c r="F62" s="21" t="str">
        <x:v>salty; detailed assay response available in source record</x:v>
      </x:c>
      <x:c r="G62" s="21" t="str">
        <x:v>Meretrix lyrata enzymatic hydrolysate</x:v>
      </x:c>
      <x:c r="H62" s="22" t="str">
        <x:v>Current_curated; 10.1016/j.foodres.2025.116930</x:v>
      </x:c>
    </x:row>
    <x:row r="63" ht="32.400001525878906" hidden="0" customHeight="1">
      <x:c r="A63" s="34" t="n">
        <x:v>60</x:v>
      </x:c>
      <x:c r="B63" s="35" t="str">
        <x:v>VDEVLRL</x:v>
      </x:c>
      <x:c r="C63" s="35" t="n">
        <x:f>LEN(B63)</x:f>
        <x:v>7</x:v>
      </x:c>
      <x:c r="D63" s="35" t="n">
        <x:v>1</x:v>
      </x:c>
      <x:c r="E63" s="21" t="str">
        <x:v>Direct sensory evidence; synthetic/isolated peptide; sensory evaluation; electronic tongue; taste-threshold test; LC-MS/MS identification</x:v>
      </x:c>
      <x:c r="F63" s="21" t="str">
        <x:v>salty; detailed assay response available in source record</x:v>
      </x:c>
      <x:c r="G63" s="21" t="str">
        <x:v>Meretrix lyrata enzymatic hydrolysate</x:v>
      </x:c>
      <x:c r="H63" s="22" t="str">
        <x:v>Current_curated; 10.1016/j.foodres.2025.116930</x:v>
      </x:c>
    </x:row>
    <x:row r="64" ht="32.400001525878906" hidden="0" customHeight="1">
      <x:c r="A64" s="34" t="n">
        <x:v>61</x:v>
      </x:c>
      <x:c r="B64" s="35" t="str">
        <x:v>GDNVGF</x:v>
      </x:c>
      <x:c r="C64" s="35" t="n">
        <x:f>LEN(B64)</x:f>
        <x:v>6</x:v>
      </x:c>
      <x:c r="D64" s="35" t="n">
        <x:v>1</x:v>
      </x:c>
      <x:c r="E64" s="21" t="str">
        <x:v>Direct sensory evidence; synthetic/isolated peptide; sensory evaluation; electronic tongue; taste-threshold test; LC-MS/MS identification; molecular docking (supporting)</x:v>
      </x:c>
      <x:c r="F64" s="21" t="str">
        <x:v>salty; salt-enhancing activity also reported; reported assay value(s): 0.01%, 70 mmol/L, 17%, 0.7%</x:v>
      </x:c>
      <x:c r="G64" s="21" t="str">
        <x:v>Coprinus comatus; Mushroom</x:v>
      </x:c>
      <x:c r="H64" s="22" t="str">
        <x:v>TastePeptidesDB; 10.1021/acs.jafc.4c10426</x:v>
      </x:c>
    </x:row>
    <x:row r="65" ht="32.400001525878906" hidden="0" customHeight="1">
      <x:c r="A65" s="34" t="n">
        <x:v>62</x:v>
      </x:c>
      <x:c r="B65" s="35" t="str">
        <x:v>ESPERPFL</x:v>
      </x:c>
      <x:c r="C65" s="35" t="n">
        <x:f>LEN(B65)</x:f>
        <x:v>8</x:v>
      </x:c>
      <x:c r="D65" s="35" t="n">
        <x:v>1</x:v>
      </x:c>
      <x:c r="E65" s="21" t="str">
        <x:v>Direct sensory evidence; synthetic/isolated peptide; sensory evaluation; electronic tongue; taste-threshold test; LC-MS/MS identification; molecular docking (supporting)</x:v>
      </x:c>
      <x:c r="F65" s="21" t="str">
        <x:v>salty; reported assay value(s): 1 mg/mL</x:v>
      </x:c>
      <x:c r="G65" s="21" t="str">
        <x:v>Stropharia rugosoannulata; mushroom</x:v>
      </x:c>
      <x:c r="H65" s="22" t="str">
        <x:v>10.1016/j.foodchem.2025.143403; 10.1038/s41538--00380-4; 10.26599/fshw.2022.9250190; 10.1039/d4fo00596a</x:v>
      </x:c>
    </x:row>
    <x:row r="66" ht="32.400001525878906" hidden="0" customHeight="1">
      <x:c r="A66" s="34" t="n">
        <x:v>63</x:v>
      </x:c>
      <x:c r="B66" s="35" t="str">
        <x:v>GQEDYDRLRPL</x:v>
      </x:c>
      <x:c r="C66" s="35" t="n">
        <x:f>LEN(B66)</x:f>
        <x:v>11</x:v>
      </x:c>
      <x:c r="D66" s="35" t="n">
        <x:v>1</x:v>
      </x:c>
      <x:c r="E66" s="21" t="str">
        <x:v>Direct sensory evidence; synthetic/isolated peptide; sensory evaluation; electronic tongue; taste-threshold test; LC-MS/MS identification; molecular docking (supporting)</x:v>
      </x:c>
      <x:c r="F66" s="21" t="str">
        <x:v>salty; reported assay value(s): 1 mg/mL</x:v>
      </x:c>
      <x:c r="G66" s="21" t="str">
        <x:v>Stropharia rugosoannulata; mushroom</x:v>
      </x:c>
      <x:c r="H66" s="22" t="str">
        <x:v>10.1016/j.foodchem.2025.143403; 10.1038/s41538--00380-4; 10.26599/fshw.2022.9250190</x:v>
      </x:c>
    </x:row>
    <x:row r="67" ht="32.400001525878906" hidden="0" customHeight="1">
      <x:c r="A67" s="34" t="n">
        <x:v>64</x:v>
      </x:c>
      <x:c r="B67" s="35" t="str">
        <x:v>KSWDDFFTR</x:v>
      </x:c>
      <x:c r="C67" s="35" t="n">
        <x:f>LEN(B67)</x:f>
        <x:v>9</x:v>
      </x:c>
      <x:c r="D67" s="35" t="n">
        <x:v>1</x:v>
      </x:c>
      <x:c r="E67" s="21" t="str">
        <x:v>Direct sensory evidence; synthetic/isolated peptide; sensory evaluation; electronic tongue; taste-threshold test; LC-MS/MS identification; molecular docking (supporting)</x:v>
      </x:c>
      <x:c r="F67" s="21" t="str">
        <x:v>salty; salt-enhancing activity also reported; reported assay value(s): 1 mg/mL</x:v>
      </x:c>
      <x:c r="G67" s="21" t="str">
        <x:v>mushroom; Stropharia rugosoannulata</x:v>
      </x:c>
      <x:c r="H67" s="22" t="str">
        <x:v>10.1016/j.foodchem.2025.143403; 10.1038/s41538--00380-4; 10.26599/fshw.2022.9250190; 10.1039/d4fo00596a</x:v>
      </x:c>
    </x:row>
    <x:row r="68" ht="32.400001525878906" hidden="0" customHeight="1">
      <x:c r="A68" s="34" t="n">
        <x:v>65</x:v>
      </x:c>
      <x:c r="B68" s="35" t="str">
        <x:v>RIEDNLVIIR</x:v>
      </x:c>
      <x:c r="C68" s="35" t="n">
        <x:f>LEN(B68)</x:f>
        <x:v>10</x:v>
      </x:c>
      <x:c r="D68" s="35" t="n">
        <x:v>1</x:v>
      </x:c>
      <x:c r="E68" s="21" t="str">
        <x:v>Direct sensory evidence; synthetic/isolated peptide; sensory evaluation; electronic tongue; taste-threshold test; LC-MS/MS identification; molecular docking (supporting)</x:v>
      </x:c>
      <x:c r="F68" s="21" t="str">
        <x:v>salty; reported assay value(s): 1 mg/mL</x:v>
      </x:c>
      <x:c r="G68" s="21" t="str">
        <x:v>mushroom; Stropharia rugosoannulata</x:v>
      </x:c>
      <x:c r="H68" s="22" t="str">
        <x:v>10.1016/j.foodchem.2025.143403; 10.1038/s41538--00380-4; 10.26599/fshw.2022.9250190</x:v>
      </x:c>
    </x:row>
    <x:row r="69" ht="32.400001525878906" hidden="0" customHeight="1">
      <x:c r="A69" s="34" t="n">
        <x:v>66</x:v>
      </x:c>
      <x:c r="B69" s="35" t="str">
        <x:v>FRPA</x:v>
      </x:c>
      <x:c r="C69" s="35" t="n">
        <x:f>LEN(B69)</x:f>
        <x:v>4</x:v>
      </x:c>
      <x:c r="D69" s="35" t="n">
        <x:v>1</x:v>
      </x:c>
      <x:c r="E69" s="21" t="str">
        <x:v>Direct sensory evidence; synthetic/isolated peptide; sensory evaluation; electronic tongue; taste-threshold test; molecular docking (supporting)</x:v>
      </x:c>
      <x:c r="F69" s="21" t="str">
        <x:v>salty; detailed assay response available in source record</x:v>
      </x:c>
      <x:c r="G69" s="21" t="str">
        <x:v>(Wheat gluten)</x:v>
      </x:c>
      <x:c r="H69" s="22" t="str">
        <x:v>10.1016/j.foodchem.2025.146622</x:v>
      </x:c>
    </x:row>
    <x:row r="70" ht="32.400001525878906" hidden="0" customHeight="1">
      <x:c r="A70" s="34" t="n">
        <x:v>67</x:v>
      </x:c>
      <x:c r="B70" s="35" t="str">
        <x:v>GDW</x:v>
      </x:c>
      <x:c r="C70" s="35" t="n">
        <x:f>LEN(B70)</x:f>
        <x:v>3</x:v>
      </x:c>
      <x:c r="D70" s="35" t="n">
        <x:v>1</x:v>
      </x:c>
      <x:c r="E70" s="21" t="str">
        <x:v>Direct sensory evidence; synthetic/isolated peptide; sensory evaluation; electronic tongue; taste-threshold test; molecular docking (supporting)</x:v>
      </x:c>
      <x:c r="F70" s="21" t="str">
        <x:v>salty; detailed assay response available in source record</x:v>
      </x:c>
      <x:c r="G70" s="21" t="str">
        <x:v>(Wheat gluten)</x:v>
      </x:c>
      <x:c r="H70" s="22" t="str">
        <x:v>10.1016/j.foodchem.2025.146622</x:v>
      </x:c>
    </x:row>
    <x:row r="71" ht="32.400001525878906" hidden="0" customHeight="1">
      <x:c r="A71" s="34" t="n">
        <x:v>68</x:v>
      </x:c>
      <x:c r="B71" s="35" t="str">
        <x:v>NFRP</x:v>
      </x:c>
      <x:c r="C71" s="35" t="n">
        <x:f>LEN(B71)</x:f>
        <x:v>4</x:v>
      </x:c>
      <x:c r="D71" s="35" t="n">
        <x:v>1</x:v>
      </x:c>
      <x:c r="E71" s="21" t="str">
        <x:v>Direct sensory evidence; synthetic/isolated peptide; sensory evaluation; electronic tongue; taste-threshold test; molecular docking (supporting)</x:v>
      </x:c>
      <x:c r="F71" s="21" t="str">
        <x:v>salty; detailed assay response available in source record</x:v>
      </x:c>
      <x:c r="G71" s="21" t="str">
        <x:v>(Wheat gluten)</x:v>
      </x:c>
      <x:c r="H71" s="22" t="str">
        <x:v>10.1016/j.foodchem.2025.146622</x:v>
      </x:c>
    </x:row>
    <x:row r="72" ht="32.400001525878906" hidden="0" customHeight="1">
      <x:c r="A72" s="34" t="n">
        <x:v>69</x:v>
      </x:c>
      <x:c r="B72" s="35" t="str">
        <x:v>RAFL</x:v>
      </x:c>
      <x:c r="C72" s="35" t="n">
        <x:f>LEN(B72)</x:f>
        <x:v>4</x:v>
      </x:c>
      <x:c r="D72" s="35" t="n">
        <x:v>1</x:v>
      </x:c>
      <x:c r="E72" s="21" t="str">
        <x:v>Direct sensory evidence; synthetic/isolated peptide; sensory evaluation; electronic tongue; taste-threshold test; molecular docking (supporting)</x:v>
      </x:c>
      <x:c r="F72" s="21" t="str">
        <x:v>salty; detailed assay response available in source record</x:v>
      </x:c>
      <x:c r="G72" s="21" t="str">
        <x:v>(Wheat gluten)</x:v>
      </x:c>
      <x:c r="H72" s="22" t="str">
        <x:v>10.1016/j.foodchem.2025.146622</x:v>
      </x:c>
    </x:row>
    <x:row r="73" ht="32.400001525878906" hidden="0" customHeight="1">
      <x:c r="A73" s="34" t="n">
        <x:v>70</x:v>
      </x:c>
      <x:c r="B73" s="35" t="str">
        <x:v>WDPL</x:v>
      </x:c>
      <x:c r="C73" s="35" t="n">
        <x:f>LEN(B73)</x:f>
        <x:v>4</x:v>
      </x:c>
      <x:c r="D73" s="35" t="n">
        <x:v>1</x:v>
      </x:c>
      <x:c r="E73" s="21" t="str">
        <x:v>Direct sensory evidence; synthetic/isolated peptide; sensory evaluation; electronic tongue; taste-threshold test; molecular docking (supporting)</x:v>
      </x:c>
      <x:c r="F73" s="21" t="str">
        <x:v>salty; detailed assay response available in source record</x:v>
      </x:c>
      <x:c r="G73" s="21" t="str">
        <x:v>(Wheat gluten)</x:v>
      </x:c>
      <x:c r="H73" s="22" t="str">
        <x:v>10.1016/j.foodchem.2025.146622</x:v>
      </x:c>
    </x:row>
    <x:row r="74" ht="32.400001525878906" hidden="0" customHeight="1">
      <x:c r="A74" s="34" t="n">
        <x:v>71</x:v>
      </x:c>
      <x:c r="B74" s="35" t="str">
        <x:v>WYD</x:v>
      </x:c>
      <x:c r="C74" s="35" t="n">
        <x:f>LEN(B74)</x:f>
        <x:v>3</x:v>
      </x:c>
      <x:c r="D74" s="35" t="n">
        <x:v>1</x:v>
      </x:c>
      <x:c r="E74" s="21" t="str">
        <x:v>Direct sensory evidence; synthetic/isolated peptide; sensory evaluation; electronic tongue; taste-threshold test; molecular docking (supporting)</x:v>
      </x:c>
      <x:c r="F74" s="21" t="str">
        <x:v>salty; detailed assay response available in source record</x:v>
      </x:c>
      <x:c r="G74" s="21" t="str">
        <x:v>(Wheat gluten)</x:v>
      </x:c>
      <x:c r="H74" s="22" t="str">
        <x:v>10.1016/j.foodchem.2025.146622</x:v>
      </x:c>
    </x:row>
    <x:row r="75" ht="32.400001525878906" hidden="0" customHeight="1">
      <x:c r="A75" s="34" t="n">
        <x:v>72</x:v>
      </x:c>
      <x:c r="B75" s="35" t="str">
        <x:v>YDFL</x:v>
      </x:c>
      <x:c r="C75" s="35" t="n">
        <x:f>LEN(B75)</x:f>
        <x:v>4</x:v>
      </x:c>
      <x:c r="D75" s="35" t="n">
        <x:v>1</x:v>
      </x:c>
      <x:c r="E75" s="21" t="str">
        <x:v>Direct sensory evidence; synthetic/isolated peptide; sensory evaluation; electronic tongue; taste-threshold test; molecular docking (supporting)</x:v>
      </x:c>
      <x:c r="F75" s="21" t="str">
        <x:v>salty; detailed assay response available in source record</x:v>
      </x:c>
      <x:c r="G75" s="21" t="str">
        <x:v>(Wheat gluten)</x:v>
      </x:c>
      <x:c r="H75" s="22" t="str">
        <x:v>10.1016/j.foodchem.2025.146622</x:v>
      </x:c>
    </x:row>
    <x:row r="76" ht="32.400001525878906" hidden="0" customHeight="1">
      <x:c r="A76" s="34" t="n">
        <x:v>73</x:v>
      </x:c>
      <x:c r="B76" s="35" t="str">
        <x:v>YRAF</x:v>
      </x:c>
      <x:c r="C76" s="35" t="n">
        <x:f>LEN(B76)</x:f>
        <x:v>4</x:v>
      </x:c>
      <x:c r="D76" s="35" t="n">
        <x:v>1</x:v>
      </x:c>
      <x:c r="E76" s="21" t="str">
        <x:v>Direct sensory evidence; synthetic/isolated peptide; sensory evaluation; electronic tongue; taste-threshold test; molecular docking (supporting)</x:v>
      </x:c>
      <x:c r="F76" s="21" t="str">
        <x:v>salty; detailed assay response available in source record</x:v>
      </x:c>
      <x:c r="G76" s="21" t="str">
        <x:v>(Wheat gluten)</x:v>
      </x:c>
      <x:c r="H76" s="22" t="str">
        <x:v>10.1016/j.foodchem.2025.146622</x:v>
      </x:c>
    </x:row>
    <x:row r="77" ht="32.400001525878906" hidden="0" customHeight="1">
      <x:c r="A77" s="34" t="n">
        <x:v>74</x:v>
      </x:c>
      <x:c r="B77" s="35" t="str">
        <x:v>DGKGKIPEE</x:v>
      </x:c>
      <x:c r="C77" s="35" t="n">
        <x:f>LEN(B77)</x:f>
        <x:v>9</x:v>
      </x:c>
      <x:c r="D77" s="35" t="n">
        <x:v>1</x:v>
      </x:c>
      <x:c r="E77" s="21" t="str">
        <x:v>Direct sensory evidence; synthetic/isolated peptide; sensory evaluation; electronic tongue; taste-threshold test; molecular docking (supporting)</x:v>
      </x:c>
      <x:c r="F77" s="21" t="str">
        <x:v>salty; salt-enhancing activity also reported; reported assay value(s): 97.8 %, 98.9 %, 21 %, 18.2 %</x:v>
      </x:c>
      <x:c r="G77" s="21" t="str">
        <x:v>Not reported</x:v>
      </x:c>
      <x:c r="H77" s="22" t="str">
        <x:v>10.1016/j.foodchem.2025.145077</x:v>
      </x:c>
    </x:row>
    <x:row r="78" ht="32.400001525878906" hidden="0" customHeight="1">
      <x:c r="A78" s="34" t="n">
        <x:v>75</x:v>
      </x:c>
      <x:c r="B78" s="35" t="str">
        <x:v>ILAPPER</x:v>
      </x:c>
      <x:c r="C78" s="35" t="n">
        <x:f>LEN(B78)</x:f>
        <x:v>7</x:v>
      </x:c>
      <x:c r="D78" s="35" t="n">
        <x:v>1</x:v>
      </x:c>
      <x:c r="E78" s="21" t="str">
        <x:v>Direct sensory evidence; synthetic/isolated peptide; sensory evaluation; electronic tongue; taste-threshold test; molecular docking (supporting)</x:v>
      </x:c>
      <x:c r="F78" s="21" t="str">
        <x:v>salty; salt-enhancing activity also reported; reported assay value(s): 97.8 %, 98.9 %, 21 %, 18.2 %</x:v>
      </x:c>
      <x:c r="G78" s="21" t="str">
        <x:v>Not reported</x:v>
      </x:c>
      <x:c r="H78" s="22" t="str">
        <x:v>10.1016/j.foodchem.2025.145077</x:v>
      </x:c>
    </x:row>
    <x:row r="79" ht="32.400001525878906" hidden="0" customHeight="1">
      <x:c r="A79" s="34" t="n">
        <x:v>76</x:v>
      </x:c>
      <x:c r="B79" s="35" t="str">
        <x:v>WPGFK</x:v>
      </x:c>
      <x:c r="C79" s="35" t="n">
        <x:f>LEN(B79)</x:f>
        <x:v>5</x:v>
      </x:c>
      <x:c r="D79" s="35" t="n">
        <x:v>1</x:v>
      </x:c>
      <x:c r="E79" s="21" t="str">
        <x:v>Direct sensory evidence; synthetic/isolated peptide; sensory evaluation; electronic tongue; taste-threshold test; LC-MS/MS identification</x:v>
      </x:c>
      <x:c r="F79" s="21" t="str">
        <x:v>salty; salt-enhancing activity also reported; reported assay value(s): 0.01 %, 0.24 %</x:v>
      </x:c>
      <x:c r="G79" s="21" t="str">
        <x:v>(Volvariella volvacea) protein enzymatic hydrolysate; Volvariella volvacea protein hydrolysate</x:v>
      </x:c>
      <x:c r="H79" s="22" t="str">
        <x:v>Current_curated; 10.1016/j.foodres.2024.115155</x:v>
      </x:c>
    </x:row>
    <x:row r="80" ht="32.400001525878906" hidden="0" customHeight="1">
      <x:c r="A80" s="34" t="n">
        <x:v>77</x:v>
      </x:c>
      <x:c r="B80" s="35" t="str">
        <x:v>YFDWPGFK</x:v>
      </x:c>
      <x:c r="C80" s="35" t="n">
        <x:f>LEN(B80)</x:f>
        <x:v>8</x:v>
      </x:c>
      <x:c r="D80" s="35" t="n">
        <x:v>1</x:v>
      </x:c>
      <x:c r="E80" s="21" t="str">
        <x:v>Direct sensory evidence; synthetic/isolated peptide; sensory evaluation; electronic tongue; taste-threshold test; LC-MS/MS identification</x:v>
      </x:c>
      <x:c r="F80" s="21" t="str">
        <x:v>salty; salt-enhancing activity also reported; reported assay value(s): 0.01 %, 0.24 %</x:v>
      </x:c>
      <x:c r="G80" s="21" t="str">
        <x:v>(Volvariella volvacea) protein enzymatic hydrolysate; Volvariella volvacea protein hydrolysate</x:v>
      </x:c>
      <x:c r="H80" s="22" t="str">
        <x:v>Current_curated; 10.1016/j.foodres.2024.115155</x:v>
      </x:c>
    </x:row>
    <x:row r="81" ht="32.400001525878906" hidden="0" customHeight="1">
      <x:c r="A81" s="34" t="n">
        <x:v>78</x:v>
      </x:c>
      <x:c r="B81" s="35" t="str">
        <x:v>YFDWPGFKT</x:v>
      </x:c>
      <x:c r="C81" s="35" t="n">
        <x:f>LEN(B81)</x:f>
        <x:v>9</x:v>
      </x:c>
      <x:c r="D81" s="35" t="n">
        <x:v>1</x:v>
      </x:c>
      <x:c r="E81" s="21" t="str">
        <x:v>Direct sensory evidence; synthetic/isolated peptide; sensory evaluation; electronic tongue; taste-threshold test; LC-MS/MS identification</x:v>
      </x:c>
      <x:c r="F81" s="21" t="str">
        <x:v>salty; salt-enhancing activity also reported; reported assay value(s): 0.01 %, 0.24 %</x:v>
      </x:c>
      <x:c r="G81" s="21" t="str">
        <x:v>(Volvariella volvacea) protein enzymatic hydrolysate; Volvariella volvacea protein hydrolysate</x:v>
      </x:c>
      <x:c r="H81" s="22" t="str">
        <x:v>Current_curated; 10.1016/j.foodres.2024.115155</x:v>
      </x:c>
    </x:row>
    <x:row r="82" ht="32.400001525878906" hidden="0" customHeight="1">
      <x:c r="A82" s="34" t="n">
        <x:v>79</x:v>
      </x:c>
      <x:c r="B82" s="35" t="str">
        <x:v>DFKSPDDPSRH</x:v>
      </x:c>
      <x:c r="C82" s="35" t="n">
        <x:f>LEN(B82)</x:f>
        <x:v>11</x:v>
      </x:c>
      <x:c r="D82" s="35" t="n">
        <x:v>1</x:v>
      </x:c>
      <x:c r="E82" s="21" t="str">
        <x:v>Direct sensory evidence; synthetic/isolated peptide; sensory evaluation; electronic tongue; taste-threshold test; LC-MS/MS identification; molecular docking (supporting)</x:v>
      </x:c>
      <x:c r="F82" s="21" t="str">
        <x:v>salty, sour, astringent; detailed assay response available in source record</x:v>
      </x:c>
      <x:c r="G82" s="21" t="str">
        <x:v>(Tilapia by-product); Enzymatic lyse of tilapia by-product</x:v>
      </x:c>
      <x:c r="H82" s="22" t="str">
        <x:v>10.3389/fnut.2023.1343209; 10.1016/j.fufo.2026.100930</x:v>
      </x:c>
    </x:row>
    <x:row r="83" ht="32.400001525878906" hidden="0" customHeight="1">
      <x:c r="A83" s="34" t="n">
        <x:v>80</x:v>
      </x:c>
      <x:c r="B83" s="35" t="str">
        <x:v>DPFDQDDWEAWTK</x:v>
      </x:c>
      <x:c r="C83" s="35" t="n">
        <x:f>LEN(B83)</x:f>
        <x:v>13</x:v>
      </x:c>
      <x:c r="D83" s="35" t="n">
        <x:v>1</x:v>
      </x:c>
      <x:c r="E83" s="21" t="str">
        <x:v>Direct sensory evidence; synthetic/isolated peptide; sensory evaluation; electronic tongue; taste-threshold test; LC-MS/MS identification; molecular docking (supporting)</x:v>
      </x:c>
      <x:c r="F83" s="21" t="str">
        <x:v>salty, sour, astringent; detailed assay response available in source record</x:v>
      </x:c>
      <x:c r="G83" s="21" t="str">
        <x:v>(Tilapia by-product)</x:v>
      </x:c>
      <x:c r="H83" s="22" t="str">
        <x:v>10.3389/fnut.2023.1343209</x:v>
      </x:c>
    </x:row>
    <x:row r="84" ht="32.400001525878906" hidden="0" customHeight="1">
      <x:c r="A84" s="34" t="n">
        <x:v>81</x:v>
      </x:c>
      <x:c r="B84" s="35" t="str">
        <x:v>FIYDVLEDPVE</x:v>
      </x:c>
      <x:c r="C84" s="35" t="n">
        <x:f>LEN(B84)</x:f>
        <x:v>11</x:v>
      </x:c>
      <x:c r="D84" s="35" t="n">
        <x:v>1</x:v>
      </x:c>
      <x:c r="E84" s="21" t="str">
        <x:v>Direct sensory evidence; synthetic/isolated peptide; sensory evaluation; electronic tongue; taste-threshold test; LC-MS/MS identification; molecular docking (supporting)</x:v>
      </x:c>
      <x:c r="F84" s="21" t="str">
        <x:v>salty, sour, astringent; detailed assay response available in source record</x:v>
      </x:c>
      <x:c r="G84" s="21" t="str">
        <x:v>(Tilapia by-product)</x:v>
      </x:c>
      <x:c r="H84" s="22" t="str">
        <x:v>10.3389/fnut.2023.1343209</x:v>
      </x:c>
    </x:row>
    <x:row r="85" ht="32.400001525878906" hidden="0" customHeight="1">
      <x:c r="A85" s="34" t="n">
        <x:v>82</x:v>
      </x:c>
      <x:c r="B85" s="35" t="str">
        <x:v>FPGDFTPEVH</x:v>
      </x:c>
      <x:c r="C85" s="35" t="n">
        <x:f>LEN(B85)</x:f>
        <x:v>10</x:v>
      </x:c>
      <x:c r="D85" s="35" t="n">
        <x:v>1</x:v>
      </x:c>
      <x:c r="E85" s="21" t="str">
        <x:v>Direct sensory evidence; synthetic/isolated peptide; sensory evaluation; electronic tongue; taste-threshold test; LC-MS/MS identification; molecular docking (supporting)</x:v>
      </x:c>
      <x:c r="F85" s="21" t="str">
        <x:v>salty, sour, astringent; detailed assay response available in source record</x:v>
      </x:c>
      <x:c r="G85" s="21" t="str">
        <x:v>(Tilapia by-product)</x:v>
      </x:c>
      <x:c r="H85" s="22" t="str">
        <x:v>10.3389/fnut.2023.1343209</x:v>
      </x:c>
    </x:row>
    <x:row r="86" ht="32.400001525878906" hidden="0" customHeight="1">
      <x:c r="A86" s="34" t="n">
        <x:v>83</x:v>
      </x:c>
      <x:c r="B86" s="35" t="str">
        <x:v>FPGIPDHL</x:v>
      </x:c>
      <x:c r="C86" s="35" t="n">
        <x:f>LEN(B86)</x:f>
        <x:v>8</x:v>
      </x:c>
      <x:c r="D86" s="35" t="n">
        <x:v>1</x:v>
      </x:c>
      <x:c r="E86" s="21" t="str">
        <x:v>Direct sensory evidence; synthetic/isolated peptide; sensory evaluation; electronic tongue; taste-threshold test; LC-MS/MS identification; molecular docking (supporting)</x:v>
      </x:c>
      <x:c r="F86" s="21" t="str">
        <x:v>salty, sour, astringent; detailed assay response available in source record</x:v>
      </x:c>
      <x:c r="G86" s="21" t="str">
        <x:v>(Tilapia by-product); Enzymatic lyse of tilapia by-product</x:v>
      </x:c>
      <x:c r="H86" s="22" t="str">
        <x:v>10.3389/fnut.2023.1343209; 10.1016/j.fufo.2026.100930</x:v>
      </x:c>
    </x:row>
    <x:row r="87" ht="32.400001525878906" hidden="0" customHeight="1">
      <x:c r="A87" s="34" t="n">
        <x:v>84</x:v>
      </x:c>
      <x:c r="B87" s="35" t="str">
        <x:v>FSADQIEDYR</x:v>
      </x:c>
      <x:c r="C87" s="35" t="n">
        <x:f>LEN(B87)</x:f>
        <x:v>10</x:v>
      </x:c>
      <x:c r="D87" s="35" t="n">
        <x:v>1</x:v>
      </x:c>
      <x:c r="E87" s="21" t="str">
        <x:v>Direct sensory evidence; synthetic/isolated peptide; sensory evaluation; electronic tongue; taste-threshold test; LC-MS/MS identification; molecular docking (supporting)</x:v>
      </x:c>
      <x:c r="F87" s="21" t="str">
        <x:v>salty, sour, astringent; detailed assay response available in source record</x:v>
      </x:c>
      <x:c r="G87" s="21" t="str">
        <x:v>(Tilapia by-product)</x:v>
      </x:c>
      <x:c r="H87" s="22" t="str">
        <x:v>10.3389/fnut.2023.1343209</x:v>
      </x:c>
    </x:row>
    <x:row r="88" ht="32.400001525878906" hidden="0" customHeight="1">
      <x:c r="A88" s="34" t="n">
        <x:v>85</x:v>
      </x:c>
      <x:c r="B88" s="35" t="str">
        <x:v>GEIDEFLPAPR</x:v>
      </x:c>
      <x:c r="C88" s="35" t="n">
        <x:f>LEN(B88)</x:f>
        <x:v>11</x:v>
      </x:c>
      <x:c r="D88" s="35" t="n">
        <x:v>1</x:v>
      </x:c>
      <x:c r="E88" s="21" t="str">
        <x:v>Direct sensory evidence; synthetic/isolated peptide; sensory evaluation; electronic tongue; taste-threshold test; LC-MS/MS identification; molecular docking (supporting)</x:v>
      </x:c>
      <x:c r="F88" s="21" t="str">
        <x:v>salty, sour, astringent; detailed assay response available in source record</x:v>
      </x:c>
      <x:c r="G88" s="21" t="str">
        <x:v>(Tilapia by-product)</x:v>
      </x:c>
      <x:c r="H88" s="22" t="str">
        <x:v>10.3389/fnut.2023.1343209</x:v>
      </x:c>
    </x:row>
    <x:row r="89" ht="32.400001525878906" hidden="0" customHeight="1">
      <x:c r="A89" s="34" t="n">
        <x:v>86</x:v>
      </x:c>
      <x:c r="B89" s="35" t="str">
        <x:v>HLDDALR</x:v>
      </x:c>
      <x:c r="C89" s="35" t="n">
        <x:f>LEN(B89)</x:f>
        <x:v>7</x:v>
      </x:c>
      <x:c r="D89" s="35" t="n">
        <x:v>1</x:v>
      </x:c>
      <x:c r="E89" s="21" t="str">
        <x:v>Direct sensory evidence; synthetic/isolated peptide; sensory evaluation; electronic tongue; taste-threshold test; LC-MS/MS identification; molecular docking (supporting)</x:v>
      </x:c>
      <x:c r="F89" s="21" t="str">
        <x:v>salty, sour, astringent; detailed assay response available in source record</x:v>
      </x:c>
      <x:c r="G89" s="21" t="str">
        <x:v>(Tilapia by-product); Enzymatic lyse of tilapia by-product</x:v>
      </x:c>
      <x:c r="H89" s="22" t="str">
        <x:v>10.3389/fnut.2023.1343209; 10.1016/j.fufo.2026.100930</x:v>
      </x:c>
    </x:row>
    <x:row r="90" ht="32.400001525878906" hidden="0" customHeight="1">
      <x:c r="A90" s="34" t="n">
        <x:v>87</x:v>
      </x:c>
      <x:c r="B90" s="35" t="str">
        <x:v>NLKGGDDLDPNYVL</x:v>
      </x:c>
      <x:c r="C90" s="35" t="n">
        <x:f>LEN(B90)</x:f>
        <x:v>14</x:v>
      </x:c>
      <x:c r="D90" s="35" t="n">
        <x:v>1</x:v>
      </x:c>
      <x:c r="E90" s="21" t="str">
        <x:v>Direct sensory evidence; synthetic/isolated peptide; sensory evaluation; electronic tongue; taste-threshold test; LC-MS/MS identification; molecular docking (supporting)</x:v>
      </x:c>
      <x:c r="F90" s="21" t="str">
        <x:v>salty, astringent; detailed assay response available in source record</x:v>
      </x:c>
      <x:c r="G90" s="21" t="str">
        <x:v>(Tilapia by-product)</x:v>
      </x:c>
      <x:c r="H90" s="22" t="str">
        <x:v>10.3389/fnut.2023.1343209</x:v>
      </x:c>
    </x:row>
    <x:row r="91" ht="32.400001525878906" hidden="0" customHeight="1">
      <x:c r="A91" s="34" t="n">
        <x:v>88</x:v>
      </x:c>
      <x:c r="B91" s="35" t="str">
        <x:v>NWDDMEKIWHHTF</x:v>
      </x:c>
      <x:c r="C91" s="35" t="n">
        <x:f>LEN(B91)</x:f>
        <x:v>13</x:v>
      </x:c>
      <x:c r="D91" s="35" t="n">
        <x:v>1</x:v>
      </x:c>
      <x:c r="E91" s="21" t="str">
        <x:v>Direct sensory evidence; synthetic/isolated peptide; sensory evaluation; electronic tongue; taste-threshold test; LC-MS/MS identification; molecular docking (supporting)</x:v>
      </x:c>
      <x:c r="F91" s="21" t="str">
        <x:v>salty, astringent; detailed assay response available in source record</x:v>
      </x:c>
      <x:c r="G91" s="21" t="str">
        <x:v>(Tilapia by-product)</x:v>
      </x:c>
      <x:c r="H91" s="22" t="str">
        <x:v>10.3389/fnut.2023.1343209</x:v>
      </x:c>
    </x:row>
    <x:row r="92" ht="32.400001525878906" hidden="0" customHeight="1">
      <x:c r="A92" s="34" t="n">
        <x:v>89</x:v>
      </x:c>
      <x:c r="B92" s="35" t="str">
        <x:v>PGPPVLPPNFK</x:v>
      </x:c>
      <x:c r="C92" s="35" t="n">
        <x:f>LEN(B92)</x:f>
        <x:v>11</x:v>
      </x:c>
      <x:c r="D92" s="35" t="n">
        <x:v>1</x:v>
      </x:c>
      <x:c r="E92" s="21" t="str">
        <x:v>Direct sensory evidence; synthetic/isolated peptide; sensory evaluation; electronic tongue; taste-threshold test; LC-MS/MS identification; molecular docking (supporting)</x:v>
      </x:c>
      <x:c r="F92" s="21" t="str">
        <x:v>salty, sour, astringent; detailed assay response available in source record</x:v>
      </x:c>
      <x:c r="G92" s="21" t="str">
        <x:v>(Tilapia by-product)</x:v>
      </x:c>
      <x:c r="H92" s="22" t="str">
        <x:v>10.3389/fnut.2023.1343209</x:v>
      </x:c>
    </x:row>
    <x:row r="93" ht="32.400001525878906" hidden="0" customHeight="1">
      <x:c r="A93" s="34" t="n">
        <x:v>90</x:v>
      </x:c>
      <x:c r="B93" s="35" t="str">
        <x:v>REFDDLPLH</x:v>
      </x:c>
      <x:c r="C93" s="35" t="n">
        <x:f>LEN(B93)</x:f>
        <x:v>9</x:v>
      </x:c>
      <x:c r="D93" s="35" t="n">
        <x:v>1</x:v>
      </x:c>
      <x:c r="E93" s="21" t="str">
        <x:v>Direct sensory evidence; synthetic/isolated peptide; sensory evaluation; electronic tongue; taste-threshold test; LC-MS/MS identification; molecular docking (supporting)</x:v>
      </x:c>
      <x:c r="F93" s="21" t="str">
        <x:v>salty, sour, astringent; detailed assay response available in source record</x:v>
      </x:c>
      <x:c r="G93" s="21" t="str">
        <x:v>(Tilapia by-product)</x:v>
      </x:c>
      <x:c r="H93" s="22" t="str">
        <x:v>10.3389/fnut.2023.1343209</x:v>
      </x:c>
    </x:row>
    <x:row r="94" ht="32.400001525878906" hidden="0" customHeight="1">
      <x:c r="A94" s="34" t="n">
        <x:v>91</x:v>
      </x:c>
      <x:c r="B94" s="35" t="str">
        <x:v>TNWDDMEKIW</x:v>
      </x:c>
      <x:c r="C94" s="35" t="n">
        <x:f>LEN(B94)</x:f>
        <x:v>10</x:v>
      </x:c>
      <x:c r="D94" s="35" t="n">
        <x:v>1</x:v>
      </x:c>
      <x:c r="E94" s="21" t="str">
        <x:v>Direct sensory evidence; synthetic/isolated peptide; sensory evaluation; electronic tongue; taste-threshold test; LC-MS/MS identification; molecular docking (supporting)</x:v>
      </x:c>
      <x:c r="F94" s="21" t="str">
        <x:v>salty, astringent; detailed assay response available in source record</x:v>
      </x:c>
      <x:c r="G94" s="21" t="str">
        <x:v>(Tilapia by-product)</x:v>
      </x:c>
      <x:c r="H94" s="22" t="str">
        <x:v>10.3389/fnut.2023.1343209</x:v>
      </x:c>
    </x:row>
    <x:row r="95" ht="32.400001525878906" hidden="0" customHeight="1">
      <x:c r="A95" s="34" t="n">
        <x:v>92</x:v>
      </x:c>
      <x:c r="B95" s="35" t="str">
        <x:v>VFDISNADRLG</x:v>
      </x:c>
      <x:c r="C95" s="35" t="n">
        <x:f>LEN(B95)</x:f>
        <x:v>11</x:v>
      </x:c>
      <x:c r="D95" s="35" t="n">
        <x:v>1</x:v>
      </x:c>
      <x:c r="E95" s="21" t="str">
        <x:v>Direct sensory evidence; synthetic/isolated peptide; sensory evaluation; electronic tongue; taste-threshold test; LC-MS/MS identification; molecular docking (supporting)</x:v>
      </x:c>
      <x:c r="F95" s="21" t="str">
        <x:v>salty, sour, astringent; detailed assay response available in source record</x:v>
      </x:c>
      <x:c r="G95" s="21" t="str">
        <x:v>(Tilapia by-product)</x:v>
      </x:c>
      <x:c r="H95" s="22" t="str">
        <x:v>10.3389/fnut.2023.1343209</x:v>
      </x:c>
    </x:row>
    <x:row r="96" ht="32.400001525878906" hidden="0" customHeight="1">
      <x:c r="A96" s="34" t="n">
        <x:v>93</x:v>
      </x:c>
      <x:c r="B96" s="35" t="str">
        <x:v>VFEWENFAK</x:v>
      </x:c>
      <x:c r="C96" s="35" t="n">
        <x:f>LEN(B96)</x:f>
        <x:v>9</x:v>
      </x:c>
      <x:c r="D96" s="35" t="n">
        <x:v>1</x:v>
      </x:c>
      <x:c r="E96" s="21" t="str">
        <x:v>Direct sensory evidence; synthetic/isolated peptide; sensory evaluation; electronic tongue; taste-threshold test; LC-MS/MS identification; molecular docking (supporting)</x:v>
      </x:c>
      <x:c r="F96" s="21" t="str">
        <x:v>salty, astringent; detailed assay response available in source record</x:v>
      </x:c>
      <x:c r="G96" s="21" t="str">
        <x:v>(Tilapia by-product)</x:v>
      </x:c>
      <x:c r="H96" s="22" t="str">
        <x:v>10.3389/fnut.2023.1343209</x:v>
      </x:c>
    </x:row>
    <x:row r="97" ht="32.400001525878906" hidden="0" customHeight="1">
      <x:c r="A97" s="34" t="n">
        <x:v>94</x:v>
      </x:c>
      <x:c r="B97" s="35" t="str">
        <x:v>VIEPLDIGDDKVR</x:v>
      </x:c>
      <x:c r="C97" s="35" t="n">
        <x:f>LEN(B97)</x:f>
        <x:v>13</x:v>
      </x:c>
      <x:c r="D97" s="35" t="n">
        <x:v>1</x:v>
      </x:c>
      <x:c r="E97" s="21" t="str">
        <x:v>Direct sensory evidence; synthetic/isolated peptide; sensory evaluation; electronic tongue; taste-threshold test; LC-MS/MS identification; molecular docking (supporting)</x:v>
      </x:c>
      <x:c r="F97" s="21" t="str">
        <x:v>salty, sour, astringent; detailed assay response available in source record</x:v>
      </x:c>
      <x:c r="G97" s="21" t="str">
        <x:v>(Tilapia by-product); Enzymatic lyse of tilapia by-product</x:v>
      </x:c>
      <x:c r="H97" s="22" t="str">
        <x:v>10.3389/fnut.2023.1343209; 10.1016/j.fufo.2026.100930</x:v>
      </x:c>
    </x:row>
    <x:row r="98" ht="32.400001525878906" hidden="0" customHeight="1">
      <x:c r="A98" s="34" t="n">
        <x:v>95</x:v>
      </x:c>
      <x:c r="B98" s="35" t="str">
        <x:v>AGLELLK</x:v>
      </x:c>
      <x:c r="C98" s="35" t="n">
        <x:f>LEN(B98)</x:f>
        <x:v>7</x:v>
      </x:c>
      <x:c r="D98" s="35" t="n">
        <x:v>1</x:v>
      </x:c>
      <x:c r="E98" s="21" t="str">
        <x:v>Direct sensory evidence; synthetic/isolated peptide; sensory evaluation; electronic tongue; taste-threshold test; LC-MS/MS identification; molecular docking (supporting)</x:v>
      </x:c>
      <x:c r="F98" s="21" t="str">
        <x:v>salty, umami, sour, sweet; reported assay value(s): 0.09 mM, 0.08 mM</x:v>
      </x:c>
      <x:c r="G98" s="21" t="str">
        <x:v>Hypsizygus marmoreus ( ); (Hypsizygus marmoreuss); Mushroom</x:v>
      </x:c>
      <x:c r="H98" s="22" t="str">
        <x:v>TastePeptidesDB; 10.1016/j.foodchem.2024.139071; 10.1016/j.fufo.2026.100930</x:v>
      </x:c>
    </x:row>
    <x:row r="99" ht="32.400001525878906" hidden="0" customHeight="1">
      <x:c r="A99" s="34" t="n">
        <x:v>96</x:v>
      </x:c>
      <x:c r="B99" s="35" t="str">
        <x:v>EGNPAHQK</x:v>
      </x:c>
      <x:c r="C99" s="35" t="n">
        <x:f>LEN(B99)</x:f>
        <x:v>8</x:v>
      </x:c>
      <x:c r="D99" s="35" t="n">
        <x:v>1</x:v>
      </x:c>
      <x:c r="E99" s="21" t="str">
        <x:v>Direct sensory evidence; synthetic/isolated peptide; sensory evaluation; electronic tongue; taste-threshold test; LC-MS/MS identification; molecular docking (supporting)</x:v>
      </x:c>
      <x:c r="F99" s="21" t="str">
        <x:v>salty, umami, bitter, sweet; salt-enhancing activity also reported; reported assay value(s): 0.35 mM, 0.02 mM</x:v>
      </x:c>
      <x:c r="G99" s="21" t="str">
        <x:v>(Hypsizygus marmoreuss); Mushroom</x:v>
      </x:c>
      <x:c r="H99" s="22" t="str">
        <x:v>TastePeptidesDB; 10.1016/j.foodchem.2024.139071; 10.1016/j.fufo.2026.100930</x:v>
      </x:c>
    </x:row>
    <x:row r="100" ht="32.400001525878906" hidden="0" customHeight="1">
      <x:c r="A100" s="34" t="n">
        <x:v>97</x:v>
      </x:c>
      <x:c r="B100" s="35" t="str">
        <x:v>GPFPILN</x:v>
      </x:c>
      <x:c r="C100" s="35" t="n">
        <x:f>LEN(B100)</x:f>
        <x:v>7</x:v>
      </x:c>
      <x:c r="D100" s="35" t="n">
        <x:v>1</x:v>
      </x:c>
      <x:c r="E100" s="21" t="str">
        <x:v>Direct sensory evidence; synthetic/isolated peptide; sensory evaluation; electronic tongue; taste-threshold test; LC-MS/MS identification; molecular docking (supporting)</x:v>
      </x:c>
      <x:c r="F100" s="21" t="str">
        <x:v>salty, umami, sour, bitter; reported assay value(s): 0.35 mM, 0.08 mM</x:v>
      </x:c>
      <x:c r="G100" s="21" t="str">
        <x:v>Hypsizygus marmoreus ( ); (Hypsizygus marmoreuss); Mushroom</x:v>
      </x:c>
      <x:c r="H100" s="22" t="str">
        <x:v>TastePeptidesDB; 10.1016/j.foodchem.2024.139071; 10.1016/j.fufo.2026.100930</x:v>
      </x:c>
    </x:row>
    <x:row r="101" ht="32.400001525878906" hidden="0" customHeight="1">
      <x:c r="A101" s="34" t="n">
        <x:v>98</x:v>
      </x:c>
      <x:c r="B101" s="35" t="str">
        <x:v>GPFPILV</x:v>
      </x:c>
      <x:c r="C101" s="35" t="n">
        <x:f>LEN(B101)</x:f>
        <x:v>7</x:v>
      </x:c>
      <x:c r="D101" s="35" t="n">
        <x:v>1</x:v>
      </x:c>
      <x:c r="E101" s="21" t="str">
        <x:v>Direct sensory evidence; synthetic/isolated peptide; sensory evaluation; electronic tongue; taste-threshold test; LC-MS/MS identification; molecular docking (supporting)</x:v>
      </x:c>
      <x:c r="F101" s="21" t="str">
        <x:v>salty, umami, sour; salt-enhancing activity also reported; reported assay value(s): 0.02 mM</x:v>
      </x:c>
      <x:c r="G101" s="21" t="str">
        <x:v>Hypsizygus marmoreus ( ); (Hypsizygus marmoreuss); Mushroom</x:v>
      </x:c>
      <x:c r="H101" s="22" t="str">
        <x:v>TastePeptidesDB; 10.1016/j.foodchem.2024.139071; 10.1016/j.fufo.2026.100930</x:v>
      </x:c>
    </x:row>
    <x:row r="102" ht="32.400001525878906" hidden="0" customHeight="1">
      <x:c r="A102" s="34" t="n">
        <x:v>99</x:v>
      </x:c>
      <x:c r="B102" s="35" t="str">
        <x:v>LDSPATPEK</x:v>
      </x:c>
      <x:c r="C102" s="35" t="n">
        <x:f>LEN(B102)</x:f>
        <x:v>9</x:v>
      </x:c>
      <x:c r="D102" s="35" t="n">
        <x:v>1</x:v>
      </x:c>
      <x:c r="E102" s="21" t="str">
        <x:v>Direct sensory evidence; synthetic/isolated peptide; sensory evaluation; electronic tongue; taste-threshold test; LC-MS/MS identification; molecular docking (supporting)</x:v>
      </x:c>
      <x:c r="F102" s="21" t="str">
        <x:v>salty, umami, sour; reported assay value(s): 0.71 mM, 0.09 mM</x:v>
      </x:c>
      <x:c r="G102" s="21" t="str">
        <x:v>(Hypsizygus marmoreuss); Mushroom</x:v>
      </x:c>
      <x:c r="H102" s="22" t="str">
        <x:v>TastePeptidesDB; 10.1016/j.foodchem.2024.139071; 10.1016/j.fufo.2026.100930</x:v>
      </x:c>
    </x:row>
    <x:row r="103" ht="32.400001525878906" hidden="0" customHeight="1">
      <x:c r="A103" s="34" t="n">
        <x:v>100</x:v>
      </x:c>
      <x:c r="B103" s="35" t="str">
        <x:v>QEVEISRR</x:v>
      </x:c>
      <x:c r="C103" s="35" t="n">
        <x:f>LEN(B103)</x:f>
        <x:v>8</x:v>
      </x:c>
      <x:c r="D103" s="35" t="n">
        <x:v>1</x:v>
      </x:c>
      <x:c r="E103" s="21" t="str">
        <x:v>Direct sensory evidence; synthetic/isolated peptide; sensory evaluation; electronic tongue; taste-threshold test; LC-MS/MS identification; molecular docking (supporting)</x:v>
      </x:c>
      <x:c r="F103" s="21" t="str">
        <x:v>salty; reported assay value(s): 0.18 mM</x:v>
      </x:c>
      <x:c r="G103" s="21" t="str">
        <x:v>Hypsizygus marmoreus ( ); (Hypsizygus marmoreuss); Mushroom</x:v>
      </x:c>
      <x:c r="H103" s="22" t="str">
        <x:v>TastePeptidesDB; 10.1016/j.foodchem.2024.139071; 10.1016/j.fufo.2026.100930</x:v>
      </x:c>
    </x:row>
    <x:row r="104" ht="32.400001525878906" hidden="0" customHeight="1">
      <x:c r="A104" s="34" t="n">
        <x:v>101</x:v>
      </x:c>
      <x:c r="B104" s="35" t="str">
        <x:v>VVEGEPSLK</x:v>
      </x:c>
      <x:c r="C104" s="35" t="n">
        <x:f>LEN(B104)</x:f>
        <x:v>9</x:v>
      </x:c>
      <x:c r="D104" s="35" t="n">
        <x:v>1</x:v>
      </x:c>
      <x:c r="E104" s="21" t="str">
        <x:v>Direct sensory evidence; synthetic/isolated peptide; sensory evaluation; electronic tongue; taste-threshold test; LC-MS/MS identification; molecular docking (supporting)</x:v>
      </x:c>
      <x:c r="F104" s="21" t="str">
        <x:v>salty, umami, sweet; reported assay value(s): 0.71 mM, 0.09 mM</x:v>
      </x:c>
      <x:c r="G104" s="21" t="str">
        <x:v>(Hypsizygus marmoreuss); Mushroom</x:v>
      </x:c>
      <x:c r="H104" s="22" t="str">
        <x:v>TastePeptidesDB; 10.1016/j.foodchem.2024.139071; 10.1016/j.fufo.2026.100930</x:v>
      </x:c>
    </x:row>
    <x:row r="105" ht="43.20000076293945" hidden="0" customHeight="1">
      <x:c r="A105" s="34" t="n">
        <x:v>102</x:v>
      </x:c>
      <x:c r="B105" s="35" t="str">
        <x:v>EK</x:v>
      </x:c>
      <x:c r="C105" s="35" t="n">
        <x:f>LEN(B105)</x:f>
        <x:v>2</x:v>
      </x:c>
      <x:c r="D105" s="35" t="n">
        <x:v>1</x:v>
      </x:c>
      <x:c r="E105" s="21" t="str">
        <x:v>Direct sensory evidence; synthetic/isolated peptide; sensory evaluation; electronic tongue; LC-MS/MS identification; taste-cell assay; molecular docking (supporting)</x:v>
      </x:c>
      <x:c r="F105" s="21" t="str">
        <x:v>salty, umami, sour, astringent; detailed assay response available in source record</x:v>
      </x:c>
      <x:c r="G105" s="21" t="str">
        <x:v>oyster enzymatic hydrolysate; Ostrea enzymatic extract; Cheese; Oyster</x:v>
      </x:c>
      <x:c r="H105" s="22" t="str">
        <x:v>TastePeptidesDB; 10.1016/j.foodres.2024.114966; 10.1016/j.fufo.2026.100930</x:v>
      </x:c>
    </x:row>
    <x:row r="106" ht="43.20000076293945" hidden="0" customHeight="1">
      <x:c r="A106" s="34" t="n">
        <x:v>103</x:v>
      </x:c>
      <x:c r="B106" s="35" t="str">
        <x:v>LFE</x:v>
      </x:c>
      <x:c r="C106" s="35" t="n">
        <x:f>LEN(B106)</x:f>
        <x:v>3</x:v>
      </x:c>
      <x:c r="D106" s="35" t="n">
        <x:v>1</x:v>
      </x:c>
      <x:c r="E106" s="21" t="str">
        <x:v>Direct sensory evidence; synthetic/isolated peptide; sensory evaluation; electronic tongue; LC-MS/MS identification; taste-cell assay; molecular docking (supporting)</x:v>
      </x:c>
      <x:c r="F106" s="21" t="str">
        <x:v>salty; detailed assay response available in source record</x:v>
      </x:c>
      <x:c r="G106" s="21" t="str">
        <x:v>oyster enzymatic hydrolysate; Ostrea enzymatic extract; Oyster</x:v>
      </x:c>
      <x:c r="H106" s="22" t="str">
        <x:v>TastePeptidesDB; 10.1016/j.foodres.2024.114966; 10.1016/j.fufo.2026.100930</x:v>
      </x:c>
    </x:row>
    <x:row r="107" ht="43.20000076293945" hidden="0" customHeight="1">
      <x:c r="A107" s="34" t="n">
        <x:v>104</x:v>
      </x:c>
      <x:c r="B107" s="35" t="str">
        <x:v>DDD</x:v>
      </x:c>
      <x:c r="C107" s="35" t="n">
        <x:f>LEN(B107)</x:f>
        <x:v>3</x:v>
      </x:c>
      <x:c r="D107" s="35" t="n">
        <x:v>1</x:v>
      </x:c>
      <x:c r="E107" s="21" t="str">
        <x:v>Direct sensory evidence; synthetic/isolated peptide; sensory evaluation; electronic tongue; taste-threshold test; LC-MS/MS identification</x:v>
      </x:c>
      <x:c r="F107" s="21" t="str">
        <x:v>salty, umami; salt-enhancing activity also reported; reported assay value(s): 3.23 mM</x:v>
      </x:c>
      <x:c r="G107" s="21" t="str">
        <x:v>yeast extract; mixed food-protein s; yeast extract (FA31 Angel Yeast); neutral sodium salts of synthetic acidic di-/tripeptides (pH 6); (Yeast extract); Pectinida; Yeast</x:v>
      </x:c>
      <x:c r="H107" s="22" t="str">
        <x:v>TastePeptidesDB; BIOPEP-UWM; 10.1002/fsh3.12055; 10.1016/j.meatsci.2023.109261; 10.1016/j.tifs.2022.11.; 10.1007/s13197--04836-1; 10.1271/bbb.59.; 10.1016/j.fufo.2026.100930</x:v>
      </x:c>
    </x:row>
    <x:row r="108" ht="54" hidden="0" customHeight="1">
      <x:c r="A108" s="34" t="n">
        <x:v>105</x:v>
      </x:c>
      <x:c r="B108" s="35" t="str">
        <x:v>ED</x:v>
      </x:c>
      <x:c r="C108" s="35" t="n">
        <x:f>LEN(B108)</x:f>
        <x:v>2</x:v>
      </x:c>
      <x:c r="D108" s="35" t="n">
        <x:v>1</x:v>
      </x:c>
      <x:c r="E108" s="21" t="str">
        <x:v>Direct sensory evidence; synthetic/isolated peptide; sensory evaluation; electronic tongue; taste-threshold test; LC-MS/MS identification</x:v>
      </x:c>
      <x:c r="F108" s="21" t="str">
        <x:v>salty, umami, sour, astringent; salt-enhancing activity also reported; reported assay value(s): 53 mM, 35 mM, 1.0%, 3.0%</x:v>
      </x:c>
      <x:c r="G108" s="21" t="str">
        <x:v>yeast extract; mixed food-protein s; yeast extract (FA31 Angel Yeast); neutral sodium salts of synthetic acidic di-/tripeptides (pH 6); (Yeast extract); Cheese; Chicken; Pectinida…</x:v>
      </x:c>
      <x:c r="H108" s="22" t="str">
        <x:v>Current_curated; TastePeptidesDB; BIOPEP-UWM; 10.1002/fsh3.12055; 10.1016/j.meatsci.2023.109261; 10.1016/j.tifs.2022.11.; 10.1007/s13197--04836-1; 10.1271/bbb.59.; 10.1016/j.fufo.2026.100930; s13197--04836-1; abc.1989.10869317</x:v>
      </x:c>
    </x:row>
    <x:row r="109" ht="32.400001525878906" hidden="0" customHeight="1">
      <x:c r="A109" s="34" t="n">
        <x:v>106</x:v>
      </x:c>
      <x:c r="B109" s="35" t="str">
        <x:v>FI</x:v>
      </x:c>
      <x:c r="C109" s="35" t="n">
        <x:f>LEN(B109)</x:f>
        <x:v>2</x:v>
      </x:c>
      <x:c r="D109" s="35" t="n">
        <x:v>1</x:v>
      </x:c>
      <x:c r="E109" s="21" t="str">
        <x:v>Direct sensory evidence; synthetic/isolated peptide; sensory evaluation; electronic tongue; taste-threshold test; LC-MS/MS identification</x:v>
      </x:c>
      <x:c r="F109" s="21" t="str">
        <x:v>salty, bitter; salt-enhancing activity also reported; detailed assay response available in source record</x:v>
      </x:c>
      <x:c r="G109" s="21" t="str">
        <x:v>yeast extract; yeast extract (FA31 Angel Yeast); (Yeast extract); Bovine; Yeast</x:v>
      </x:c>
      <x:c r="H109" s="22" t="str">
        <x:v>Current_curated; TastePeptidesDB; 10.1002/fsh3.12055; 10.1016/j.tifs.2022.11.; 10.1007/s13197--04836-1; 10.1016/j.fufo.2026.100930</x:v>
      </x:c>
    </x:row>
    <x:row r="110" ht="54" hidden="0" customHeight="1">
      <x:c r="A110" s="34" t="n">
        <x:v>107</x:v>
      </x:c>
      <x:c r="B110" s="35" t="str">
        <x:v>SPE</x:v>
      </x:c>
      <x:c r="C110" s="35" t="n">
        <x:f>LEN(B110)</x:f>
        <x:v>3</x:v>
      </x:c>
      <x:c r="D110" s="35" t="n">
        <x:v>1</x:v>
      </x:c>
      <x:c r="E110" s="21" t="str">
        <x:v>Direct sensory evidence; synthetic/isolated peptide; sensory evaluation; electronic tongue; taste-threshold test; LC-MS/MS identification; molecular docking (supporting)</x:v>
      </x:c>
      <x:c r="F110" s="21" t="str">
        <x:v>salty, sour; salt-enhancing activity also reported; reported assay value(s): 98%, 1%</x:v>
      </x:c>
      <x:c r="G110" s="21" t="str">
        <x:v>yeast extract; mixed food-protein s; yeast extract (FA31 Angel Yeast); (Yeast extract); Enzymatic Hydrolysate; Yeast</x:v>
      </x:c>
      <x:c r="H110" s="22" t="str">
        <x:v>Current_curated; TastePeptidesDB; BIOPEP-UWM; 10.1002/fsh3.12055; 10.1016/j.meatsci.2023.109261; 10.1016/j.foodchem.2022.132993; 10.1016/j.tifs.2022.11.; 10.1007/s13197--04836-1; 10.1016/j.fufo.2026.100930; s13197--04836-1; foodchem.2022.132993</x:v>
      </x:c>
    </x:row>
    <x:row r="111" ht="32.400001525878906" hidden="0" customHeight="1">
      <x:c r="A111" s="34" t="n">
        <x:v>108</x:v>
      </x:c>
      <x:c r="B111" s="35" t="str">
        <x:v>TPDFVR</x:v>
      </x:c>
      <x:c r="C111" s="35" t="n">
        <x:f>LEN(B111)</x:f>
        <x:v>6</x:v>
      </x:c>
      <x:c r="D111" s="35" t="n">
        <x:v>1</x:v>
      </x:c>
      <x:c r="E111" s="21" t="str">
        <x:v>Direct sensory evidence; synthetic/isolated peptide; sensory evaluation; electronic tongue; LC-MS/MS identification; taste-cell assay</x:v>
      </x:c>
      <x:c r="F111" s="21" t="str">
        <x:v>salty, sour, kokumi</x:v>
      </x:c>
      <x:c r="G111" s="21" t="str">
        <x:v>Chicken</x:v>
      </x:c>
      <x:c r="H111" s="22" t="str">
        <x:v>TastePeptidesDB; 10.1016/j.ijgfs.2023.100693</x:v>
      </x:c>
    </x:row>
    <x:row r="112" ht="32.400001525878906" hidden="0" customHeight="1">
      <x:c r="A112" s="34" t="n">
        <x:v>109</x:v>
      </x:c>
      <x:c r="B112" s="35" t="str">
        <x:v>TPELLH</x:v>
      </x:c>
      <x:c r="C112" s="35" t="n">
        <x:f>LEN(B112)</x:f>
        <x:v>6</x:v>
      </x:c>
      <x:c r="D112" s="35" t="n">
        <x:v>1</x:v>
      </x:c>
      <x:c r="E112" s="21" t="str">
        <x:v>Direct sensory evidence; synthetic/isolated peptide; sensory evaluation; electronic tongue; LC-MS/MS identification; taste-cell assay</x:v>
      </x:c>
      <x:c r="F112" s="21" t="str">
        <x:v>salty</x:v>
      </x:c>
      <x:c r="G112" s="21" t="str">
        <x:v>Not reported</x:v>
      </x:c>
      <x:c r="H112" s="22" t="str">
        <x:v>10.1016/j.ijgfs.2023.100693</x:v>
      </x:c>
    </x:row>
    <x:row r="113" ht="32.400001525878906" hidden="0" customHeight="1">
      <x:c r="A113" s="34" t="n">
        <x:v>110</x:v>
      </x:c>
      <x:c r="B113" s="35" t="str">
        <x:v>DDE</x:v>
      </x:c>
      <x:c r="C113" s="35" t="n">
        <x:f>LEN(B113)</x:f>
        <x:v>3</x:v>
      </x:c>
      <x:c r="D113" s="35" t="n">
        <x:v>1</x:v>
      </x:c>
      <x:c r="E113" s="21" t="str">
        <x:v>Direct sensory evidence; synthetic/isolated peptide; sensory evaluation; electronic tongue; taste-threshold test</x:v>
      </x:c>
      <x:c r="F113" s="21" t="str">
        <x:v>salty, umami; reported assay value(s): 2.06 mM</x:v>
      </x:c>
      <x:c r="G113" s="21" t="str">
        <x:v>mixed food-protein s; neutral sodium salts of synthetic acidic di-/tripeptides (pH 6); chemically synthesized analogs</x:v>
      </x:c>
      <x:c r="H113" s="22" t="str">
        <x:v>TastePeptidesDB; BIOPEP-UWM; 10.1016/j.meatsci.2023.109261; 10.1271/bbb.59.; 10.1016/j.fufo.2026.100930</x:v>
      </x:c>
    </x:row>
    <x:row r="114" ht="32.400001525878906" hidden="0" customHeight="1">
      <x:c r="A114" s="34" t="n">
        <x:v>111</x:v>
      </x:c>
      <x:c r="B114" s="35" t="str">
        <x:v>DED</x:v>
      </x:c>
      <x:c r="C114" s="35" t="n">
        <x:f>LEN(B114)</x:f>
        <x:v>3</x:v>
      </x:c>
      <x:c r="D114" s="35" t="n">
        <x:v>1</x:v>
      </x:c>
      <x:c r="E114" s="21" t="str">
        <x:v>Direct sensory evidence; synthetic/isolated peptide; sensory evaluation; electronic tongue; taste-threshold test</x:v>
      </x:c>
      <x:c r="F114" s="21" t="str">
        <x:v>salty, umami; reported assay value(s): 2.68 mM</x:v>
      </x:c>
      <x:c r="G114" s="21" t="str">
        <x:v>mixed food-protein s; neutral sodium salts of synthetic acidic di-/tripeptides (pH 6); chemically synthesized analogs</x:v>
      </x:c>
      <x:c r="H114" s="22" t="str">
        <x:v>TastePeptidesDB; BIOPEP-UWM; 10.1016/j.meatsci.2023.109261; 10.1271/bbb.59.; 10.1016/j.fufo.2026.100930</x:v>
      </x:c>
    </x:row>
    <x:row r="115" ht="43.20000076293945" hidden="0" customHeight="1">
      <x:c r="A115" s="34" t="n">
        <x:v>112</x:v>
      </x:c>
      <x:c r="B115" s="35" t="str">
        <x:v>DEE</x:v>
      </x:c>
      <x:c r="C115" s="35" t="n">
        <x:f>LEN(B115)</x:f>
        <x:v>3</x:v>
      </x:c>
      <x:c r="D115" s="35" t="n">
        <x:v>1</x:v>
      </x:c>
      <x:c r="E115" s="21" t="str">
        <x:v>Direct sensory evidence; synthetic/isolated peptide; sensory evaluation; electronic tongue; taste-threshold test</x:v>
      </x:c>
      <x:c r="F115" s="21" t="str">
        <x:v>salty, umami; reported assay value(s): 2.09 mM</x:v>
      </x:c>
      <x:c r="G115" s="21" t="str">
        <x:v>mixed food-protein s; neutral sodium salts of synthetic acidic di-/tripeptides (pH 6); chemically synthesized analogs; Enzymatic Hydrolysate; synthetic fragment of beef-soup delic…</x:v>
      </x:c>
      <x:c r="H115" s="22" t="str">
        <x:v>TastePeptidesDB; BIOPEP-UWM; 10.1016/j.meatsci.2023.109261; 10.1271/bbb.59.; 10.1016/j.fufo.2026.100930; bbb.1995.59.; abc.1989.10869317</x:v>
      </x:c>
    </x:row>
    <x:row r="116" ht="21.600000381469727" hidden="0" customHeight="1">
      <x:c r="A116" s="34" t="n">
        <x:v>113</x:v>
      </x:c>
      <x:c r="B116" s="35" t="str">
        <x:v>DEKP</x:v>
      </x:c>
      <x:c r="C116" s="35" t="n">
        <x:f>LEN(B116)</x:f>
        <x:v>4</x:v>
      </x:c>
      <x:c r="D116" s="35" t="n">
        <x:v>1</x:v>
      </x:c>
      <x:c r="E116" s="21" t="str">
        <x:v>Literature-derived secondary evidence; electronic tongue</x:v>
      </x:c>
      <x:c r="F116" s="21" t="str">
        <x:v>salty; salt-enhancing activity also reported; detailed assay response available in source record</x:v>
      </x:c>
      <x:c r="G116" s="21" t="str">
        <x:v>mixed food-protein s</x:v>
      </x:c>
      <x:c r="H116" s="22" t="str">
        <x:v>10.1016/j.meatsci.2023.109261</x:v>
      </x:c>
    </x:row>
    <x:row r="117" ht="21.600000381469727" hidden="0" customHeight="1">
      <x:c r="A117" s="34" t="n">
        <x:v>114</x:v>
      </x:c>
      <x:c r="B117" s="35" t="str">
        <x:v>DES</x:v>
      </x:c>
      <x:c r="C117" s="35" t="n">
        <x:f>LEN(B117)</x:f>
        <x:v>3</x:v>
      </x:c>
      <x:c r="D117" s="35" t="n">
        <x:v>1</x:v>
      </x:c>
      <x:c r="E117" s="21" t="str">
        <x:v>Literature-derived secondary evidence; literature-reported taste evidence</x:v>
      </x:c>
      <x:c r="F117" s="21" t="str">
        <x:v>salty, umami, sour; detailed assay response available in source record</x:v>
      </x:c>
      <x:c r="G117" s="21" t="str">
        <x:v>mixed food-protein s; Enzymatic Hydrolysate; Porcine; Virtual enzyme digestion</x:v>
      </x:c>
      <x:c r="H117" s="22" t="str">
        <x:v>TastePeptidesDB; BIOPEP-UWM; 10.1016/j.meatsci.2023.109261</x:v>
      </x:c>
    </x:row>
    <x:row r="118" ht="32.400001525878906" hidden="0" customHeight="1">
      <x:c r="A118" s="34" t="n">
        <x:v>115</x:v>
      </x:c>
      <x:c r="B118" s="35" t="str">
        <x:v>EDD</x:v>
      </x:c>
      <x:c r="C118" s="35" t="n">
        <x:f>LEN(B118)</x:f>
        <x:v>3</x:v>
      </x:c>
      <x:c r="D118" s="35" t="n">
        <x:v>1</x:v>
      </x:c>
      <x:c r="E118" s="21" t="str">
        <x:v>Direct sensory evidence; synthetic/isolated peptide; sensory evaluation; electronic tongue; taste-threshold test</x:v>
      </x:c>
      <x:c r="F118" s="21" t="str">
        <x:v>salty, umami; reported assay value(s): 3.23 mM</x:v>
      </x:c>
      <x:c r="G118" s="21" t="str">
        <x:v>mixed food-protein s; neutral sodium salts of synthetic acidic di-/tripeptides (pH 6); chemically synthesized analogs</x:v>
      </x:c>
      <x:c r="H118" s="22" t="str">
        <x:v>TastePeptidesDB; BIOPEP-UWM; 10.1016/j.meatsci.2023.109261; 10.1271/bbb.59.; 10.1016/j.fufo.2026.100930</x:v>
      </x:c>
    </x:row>
    <x:row r="119" ht="32.400001525878906" hidden="0" customHeight="1">
      <x:c r="A119" s="34" t="n">
        <x:v>116</x:v>
      </x:c>
      <x:c r="B119" s="35" t="str">
        <x:v>EDE</x:v>
      </x:c>
      <x:c r="C119" s="35" t="n">
        <x:f>LEN(B119)</x:f>
        <x:v>3</x:v>
      </x:c>
      <x:c r="D119" s="35" t="n">
        <x:v>1</x:v>
      </x:c>
      <x:c r="E119" s="21" t="str">
        <x:v>Direct sensory evidence; synthetic/isolated peptide; sensory evaluation; electronic tongue; taste-threshold test</x:v>
      </x:c>
      <x:c r="F119" s="21" t="str">
        <x:v>salty, umami; salt-enhancing activity also reported; reported assay value(s): 3.09 mM</x:v>
      </x:c>
      <x:c r="G119" s="21" t="str">
        <x:v>mixed food-protein s; neutral sodium salts of synthetic acidic di-/tripeptides (pH 6); chemically synthesized analogs</x:v>
      </x:c>
      <x:c r="H119" s="22" t="str">
        <x:v>TastePeptidesDB; BIOPEP-UWM; 10.1016/j.meatsci.2023.109261; 10.1271/bbb.59.; 10.1016/j.fufo.2026.100930</x:v>
      </x:c>
    </x:row>
    <x:row r="120" ht="32.400001525878906" hidden="0" customHeight="1">
      <x:c r="A120" s="34" t="n">
        <x:v>117</x:v>
      </x:c>
      <x:c r="B120" s="35" t="str">
        <x:v>EE</x:v>
      </x:c>
      <x:c r="C120" s="35" t="n">
        <x:f>LEN(B120)</x:f>
        <x:v>2</x:v>
      </x:c>
      <x:c r="D120" s="35" t="n">
        <x:v>1</x:v>
      </x:c>
      <x:c r="E120" s="21" t="str">
        <x:v>Direct sensory evidence; synthetic/isolated peptide; sensory evaluation; electronic tongue; taste-threshold test</x:v>
      </x:c>
      <x:c r="F120" s="21" t="str">
        <x:v>salty, umami; reported assay value(s): 60.5 mM, 2.22 mM</x:v>
      </x:c>
      <x:c r="G120" s="21" t="str">
        <x:v>mixed food-protein s; neutral sodium salts of synthetic acidic di-/tripeptides (pH 6); Cheese; Enzymatic Hydrolysate; Pectinida; Soybean</x:v>
      </x:c>
      <x:c r="H120" s="22" t="str">
        <x:v>TastePeptidesDB; BIOPEP-UWM; 10.1016/j.meatsci.2023.109261; 10.1271/bbb.59.</x:v>
      </x:c>
    </x:row>
    <x:row r="121" ht="32.400001525878906" hidden="0" customHeight="1">
      <x:c r="A121" s="34" t="n">
        <x:v>118</x:v>
      </x:c>
      <x:c r="B121" s="35" t="str">
        <x:v>EED</x:v>
      </x:c>
      <x:c r="C121" s="35" t="n">
        <x:f>LEN(B121)</x:f>
        <x:v>3</x:v>
      </x:c>
      <x:c r="D121" s="35" t="n">
        <x:v>1</x:v>
      </x:c>
      <x:c r="E121" s="21" t="str">
        <x:v>Direct sensory evidence; synthetic/isolated peptide; sensory evaluation; electronic tongue; taste-threshold test</x:v>
      </x:c>
      <x:c r="F121" s="21" t="str">
        <x:v>salty, umami; reported assay value(s): 3.47 mM</x:v>
      </x:c>
      <x:c r="G121" s="21" t="str">
        <x:v>mixed food-protein s; neutral sodium salts of synthetic acidic di-/tripeptides (pH 6); chemically synthesized analogs</x:v>
      </x:c>
      <x:c r="H121" s="22" t="str">
        <x:v>TastePeptidesDB; BIOPEP-UWM; 10.1016/j.meatsci.2023.109261; 10.1271/bbb.59.; 10.1016/j.fufo.2026.100930</x:v>
      </x:c>
    </x:row>
    <x:row r="122" ht="43.20000076293945" hidden="0" customHeight="1">
      <x:c r="A122" s="34" t="n">
        <x:v>119</x:v>
      </x:c>
      <x:c r="B122" s="35" t="str">
        <x:v>EEE</x:v>
      </x:c>
      <x:c r="C122" s="35" t="n">
        <x:f>LEN(B122)</x:f>
        <x:v>3</x:v>
      </x:c>
      <x:c r="D122" s="35" t="n">
        <x:v>1</x:v>
      </x:c>
      <x:c r="E122" s="21" t="str">
        <x:v>Direct sensory evidence; synthetic/isolated peptide; sensory evaluation; electronic tongue; taste-threshold test</x:v>
      </x:c>
      <x:c r="F122" s="21" t="str">
        <x:v>salty, umami; reported assay value(s): 60.5 mM, 2.09 mM</x:v>
      </x:c>
      <x:c r="G122" s="21" t="str">
        <x:v>mixed food-protein s; neutral sodium salts of synthetic acidic di-/tripeptides (pH 6); chemically synthesized analogs; Chicken; Chinese Rice Wine; Pectinida; synthetic acidic pept…</x:v>
      </x:c>
      <x:c r="H122" s="22" t="str">
        <x:v>TastePeptidesDB; BIOPEP-UWM; 10.1016/j.meatsci.2023.109261; 10.1271/bbb.59.; 10.1016/j.fufo.2026.100930; abc.1989.10869317</x:v>
      </x:c>
    </x:row>
    <x:row r="123" ht="32.400001525878906" hidden="0" customHeight="1">
      <x:c r="A123" s="34" t="n">
        <x:v>120</x:v>
      </x:c>
      <x:c r="B123" s="35" t="str">
        <x:v>KGDEE</x:v>
      </x:c>
      <x:c r="C123" s="35" t="n">
        <x:f>LEN(B123)</x:f>
        <x:v>5</x:v>
      </x:c>
      <x:c r="D123" s="35" t="n">
        <x:v>1</x:v>
      </x:c>
      <x:c r="E123" s="21" t="str">
        <x:v>Direct sensory evidence; synthetic/isolated peptide; sensory evaluation; electronic tongue; taste-threshold test</x:v>
      </x:c>
      <x:c r="F123" s="21" t="str">
        <x:v>salty, sour, sweet; reported assay value(s): 2.50 mM, 1.41 mM</x:v>
      </x:c>
      <x:c r="G123" s="21" t="str">
        <x:v>mixed food-protein s; +; synthetic delicious-peptide analog</x:v>
      </x:c>
      <x:c r="H123" s="22" t="str">
        <x:v>Current_curated; TastePeptidesDB; BIOPEP-UWM; 10.1016/j.meatsci.2023.109261; 10.1271/bbb.59.; bbb.1995.59.</x:v>
      </x:c>
    </x:row>
    <x:row r="124" ht="32.400001525878906" hidden="0" customHeight="1">
      <x:c r="A124" s="34" t="n">
        <x:v>121</x:v>
      </x:c>
      <x:c r="B124" s="35" t="str">
        <x:v>NE</x:v>
      </x:c>
      <x:c r="C124" s="35" t="n">
        <x:f>LEN(B124)</x:f>
        <x:v>2</x:v>
      </x:c>
      <x:c r="D124" s="35" t="n">
        <x:v>1</x:v>
      </x:c>
      <x:c r="E124" s="21" t="str">
        <x:v>Direct sensory evidence; synthetic/isolated peptide; sensory evaluation; electronic tongue; taste-threshold test; LC-MS/MS identification; molecular docking (supporting)</x:v>
      </x:c>
      <x:c r="F124" s="21" t="str">
        <x:v>salty; salt-enhancing activity also reported; reported assay value(s): 98%, 1%</x:v>
      </x:c>
      <x:c r="G124" s="21" t="str">
        <x:v>yeast extract</x:v>
      </x:c>
      <x:c r="H124" s="22" t="str">
        <x:v>Current_curated; 10.1016/j.foodchem.2022.132993</x:v>
      </x:c>
    </x:row>
    <x:row r="125" ht="32.400001525878906" hidden="0" customHeight="1">
      <x:c r="A125" s="34" t="n">
        <x:v>122</x:v>
      </x:c>
      <x:c r="B125" s="35" t="str">
        <x:v>NSE</x:v>
      </x:c>
      <x:c r="C125" s="35" t="n">
        <x:f>LEN(B125)</x:f>
        <x:v>3</x:v>
      </x:c>
      <x:c r="D125" s="35" t="n">
        <x:v>1</x:v>
      </x:c>
      <x:c r="E125" s="21" t="str">
        <x:v>Direct sensory evidence; synthetic/isolated peptide; sensory evaluation; electronic tongue; taste-threshold test; LC-MS/MS identification; molecular docking (supporting)</x:v>
      </x:c>
      <x:c r="F125" s="21" t="str">
        <x:v>salty; salt-enhancing activity also reported; reported assay value(s): 98%, 1%</x:v>
      </x:c>
      <x:c r="G125" s="21" t="str">
        <x:v>yeast extract</x:v>
      </x:c>
      <x:c r="H125" s="22" t="str">
        <x:v>Current_curated; 10.1016/j.foodchem.2022.132993</x:v>
      </x:c>
    </x:row>
    <x:row r="126" ht="32.400001525878906" hidden="0" customHeight="1">
      <x:c r="A126" s="34" t="n">
        <x:v>123</x:v>
      </x:c>
      <x:c r="B126" s="35" t="str">
        <x:v>PN</x:v>
      </x:c>
      <x:c r="C126" s="35" t="n">
        <x:f>LEN(B126)</x:f>
        <x:v>2</x:v>
      </x:c>
      <x:c r="D126" s="35" t="n">
        <x:v>1</x:v>
      </x:c>
      <x:c r="E126" s="21" t="str">
        <x:v>Direct sensory evidence; synthetic/isolated peptide; sensory evaluation; electronic tongue; taste-threshold test; LC-MS/MS identification; molecular docking (supporting)</x:v>
      </x:c>
      <x:c r="F126" s="21" t="str">
        <x:v>salty; salt-enhancing activity also reported; reported assay value(s): 98%, 1%</x:v>
      </x:c>
      <x:c r="G126" s="21" t="str">
        <x:v>yeast extract</x:v>
      </x:c>
      <x:c r="H126" s="22" t="str">
        <x:v>Current_curated; 10.1016/j.foodchem.2022.132993</x:v>
      </x:c>
    </x:row>
    <x:row r="127" ht="32.400001525878906" hidden="0" customHeight="1">
      <x:c r="A127" s="34" t="n">
        <x:v>124</x:v>
      </x:c>
      <x:c r="B127" s="35" t="str">
        <x:v>AR</x:v>
      </x:c>
      <x:c r="C127" s="35" t="n">
        <x:f>LEN(B127)</x:f>
        <x:v>2</x:v>
      </x:c>
      <x:c r="D127" s="35" t="n">
        <x:v>1</x:v>
      </x:c>
      <x:c r="E127" s="21" t="str">
        <x:v>Literature-derived secondary evidence; literature-reported taste evidence</x:v>
      </x:c>
      <x:c r="F127" s="21" t="str">
        <x:v>salty; salt-enhancing activity also reported; detailed assay response available in source record</x:v>
      </x:c>
      <x:c r="G127" s="21" t="str">
        <x:v>synthetic peptide; synthetic arginyl dipeptide; occurrence surveyed in protein hydrolysates and fermented fish sauces</x:v>
      </x:c>
      <x:c r="H127" s="22" t="str">
        <x:v>Current_curated; BIOPEP-UWM; 10.1016/j.tifs.2022.11.; jafc.2011.jf2041593</x:v>
      </x:c>
    </x:row>
    <x:row r="128" ht="21.600000381469727" hidden="0" customHeight="1">
      <x:c r="A128" s="34" t="n">
        <x:v>125</x:v>
      </x:c>
      <x:c r="B128" s="35" t="str">
        <x:v>IE</x:v>
      </x:c>
      <x:c r="C128" s="35" t="n">
        <x:f>LEN(B128)</x:f>
        <x:v>2</x:v>
      </x:c>
      <x:c r="D128" s="35" t="n">
        <x:v>1</x:v>
      </x:c>
      <x:c r="E128" s="21" t="str">
        <x:v>Literature-derived secondary evidence; literature-reported taste evidence</x:v>
      </x:c>
      <x:c r="F128" s="21" t="str">
        <x:v>salty; salt-enhancing activity also reported; detailed assay response available in source record</x:v>
      </x:c>
      <x:c r="G128" s="21" t="str">
        <x:v>soy sauce; (Soy sauce)</x:v>
      </x:c>
      <x:c r="H128" s="22" t="str">
        <x:v>10.1016/j.tifs.2022.11.; 10.1016/j.fufo.2026.100930</x:v>
      </x:c>
    </x:row>
    <x:row r="129" ht="21.600000381469727" hidden="0" customHeight="1">
      <x:c r="A129" s="34" t="n">
        <x:v>126</x:v>
      </x:c>
      <x:c r="B129" s="35" t="str">
        <x:v>LQ</x:v>
      </x:c>
      <x:c r="C129" s="35" t="n">
        <x:f>LEN(B129)</x:f>
        <x:v>2</x:v>
      </x:c>
      <x:c r="D129" s="35" t="n">
        <x:v>1</x:v>
      </x:c>
      <x:c r="E129" s="21" t="str">
        <x:v>Literature-derived secondary evidence; literature-reported taste evidence</x:v>
      </x:c>
      <x:c r="F129" s="21" t="str">
        <x:v>salty; salt-enhancing activity also reported; detailed assay response available in source record</x:v>
      </x:c>
      <x:c r="G129" s="21" t="str">
        <x:v>soy sauce; (Soy sauce)</x:v>
      </x:c>
      <x:c r="H129" s="22" t="str">
        <x:v>10.1016/j.tifs.2022.11.; 10.1016/j.fufo.2026.100930</x:v>
      </x:c>
    </x:row>
    <x:row r="130" ht="21.600000381469727" hidden="0" customHeight="1">
      <x:c r="A130" s="34" t="n">
        <x:v>127</x:v>
      </x:c>
      <x:c r="B130" s="35" t="str">
        <x:v>MG</x:v>
      </x:c>
      <x:c r="C130" s="35" t="n">
        <x:f>LEN(B130)</x:f>
        <x:v>2</x:v>
      </x:c>
      <x:c r="D130" s="35" t="n">
        <x:v>1</x:v>
      </x:c>
      <x:c r="E130" s="21" t="str">
        <x:v>Literature-derived secondary evidence; electronic tongue; taste-cell assay</x:v>
      </x:c>
      <x:c r="F130" s="21" t="str">
        <x:v>salty; salt-enhancing activity also reported; reported assay value(s): 50 mmol/L, 0.4 mg/mL, 63 mmol/L</x:v>
      </x:c>
      <x:c r="G130" s="21" t="str">
        <x:v>synthetic peptide; synthetic peptide standard</x:v>
      </x:c>
      <x:c r="H130" s="22" t="str">
        <x:v>Current_curated; 10.1016/j.tifs.2022.11.; nskkk.2015.62.</x:v>
      </x:c>
    </x:row>
    <x:row r="131" ht="21.600000381469727" hidden="0" customHeight="1">
      <x:c r="A131" s="34" t="n">
        <x:v>128</x:v>
      </x:c>
      <x:c r="B131" s="35" t="str">
        <x:v>PK</x:v>
      </x:c>
      <x:c r="C131" s="35" t="n">
        <x:f>LEN(B131)</x:f>
        <x:v>2</x:v>
      </x:c>
      <x:c r="D131" s="35" t="n">
        <x:v>1</x:v>
      </x:c>
      <x:c r="E131" s="21" t="str">
        <x:v>Literature-derived secondary evidence; sensory evaluation</x:v>
      </x:c>
      <x:c r="F131" s="21" t="str">
        <x:v>salty; salt-enhancing activity also reported; detailed assay response available in source record</x:v>
      </x:c>
      <x:c r="G131" s="21" t="str">
        <x:v>soy sauce; (Soy sauce)</x:v>
      </x:c>
      <x:c r="H131" s="22" t="str">
        <x:v>10.1016/j.tifs.2022.11.; 10.1016/j.fufo.2026.100930</x:v>
      </x:c>
    </x:row>
    <x:row r="132" ht="32.400001525878906" hidden="0" customHeight="1">
      <x:c r="A132" s="34" t="n">
        <x:v>129</x:v>
      </x:c>
      <x:c r="B132" s="35" t="str">
        <x:v>RA</x:v>
      </x:c>
      <x:c r="C132" s="35" t="n">
        <x:f>LEN(B132)</x:f>
        <x:v>2</x:v>
      </x:c>
      <x:c r="D132" s="35" t="n">
        <x:v>1</x:v>
      </x:c>
      <x:c r="E132" s="21" t="str">
        <x:v>Literature-derived secondary evidence; literature-reported taste evidence</x:v>
      </x:c>
      <x:c r="F132" s="21" t="str">
        <x:v>salty; salt-enhancing activity also reported; detailed assay response available in source record</x:v>
      </x:c>
      <x:c r="G132" s="21" t="str">
        <x:v>synthetic peptide; synthetic arginyl dipeptide; occurrence surveyed in protein hydrolysates and fermented fish sauces</x:v>
      </x:c>
      <x:c r="H132" s="22" t="str">
        <x:v>Current_curated; BIOPEP-UWM; 10.1016/j.tifs.2022.11.; jafc.2011.jf2041593</x:v>
      </x:c>
    </x:row>
    <x:row r="133" ht="32.400001525878906" hidden="0" customHeight="1">
      <x:c r="A133" s="34" t="n">
        <x:v>130</x:v>
      </x:c>
      <x:c r="B133" s="35" t="str">
        <x:v>RG</x:v>
      </x:c>
      <x:c r="C133" s="35" t="n">
        <x:f>LEN(B133)</x:f>
        <x:v>2</x:v>
      </x:c>
      <x:c r="D133" s="35" t="n">
        <x:v>1</x:v>
      </x:c>
      <x:c r="E133" s="21" t="str">
        <x:v>Literature-derived secondary evidence; literature-reported taste evidence</x:v>
      </x:c>
      <x:c r="F133" s="21" t="str">
        <x:v>bitter; salt-enhancing activity also reported; detailed assay response available in source record</x:v>
      </x:c>
      <x:c r="G133" s="21" t="str">
        <x:v>fermented fish sauces; Bovine; synthetic arginyl dipeptide; occurrence surveyed in protein hydrolysates and fermented fish sauces</x:v>
      </x:c>
      <x:c r="H133" s="22" t="str">
        <x:v>Current_curated; BIOPEP-UWM; 10.1016/j.tifs.2022.11.; jafc.2011.jf2041593</x:v>
      </x:c>
    </x:row>
    <x:row r="134" ht="32.400001525878906" hidden="0" customHeight="1">
      <x:c r="A134" s="34" t="n">
        <x:v>131</x:v>
      </x:c>
      <x:c r="B134" s="35" t="str">
        <x:v>RM</x:v>
      </x:c>
      <x:c r="C134" s="35" t="n">
        <x:f>LEN(B134)</x:f>
        <x:v>2</x:v>
      </x:c>
      <x:c r="D134" s="35" t="n">
        <x:v>1</x:v>
      </x:c>
      <x:c r="E134" s="21" t="str">
        <x:v>Literature-derived secondary evidence; literature-reported taste evidence</x:v>
      </x:c>
      <x:c r="F134" s="21" t="str">
        <x:v>salty; salt-enhancing activity also reported; detailed assay response available in source record</x:v>
      </x:c>
      <x:c r="G134" s="21" t="str">
        <x:v>fermented fish sauces; synthetic arginyl dipeptide; occurrence surveyed in protein hydrolysates and fermented fish sauces</x:v>
      </x:c>
      <x:c r="H134" s="22" t="str">
        <x:v>Current_curated; BIOPEP-UWM; 10.1016/j.tifs.2022.11.; jafc.2011.jf2041593</x:v>
      </x:c>
    </x:row>
    <x:row r="135" ht="21.600000381469727" hidden="0" customHeight="1">
      <x:c r="A135" s="34" t="n">
        <x:v>132</x:v>
      </x:c>
      <x:c r="B135" s="35" t="str">
        <x:v>RP</x:v>
      </x:c>
      <x:c r="C135" s="35" t="n">
        <x:f>LEN(B135)</x:f>
        <x:v>2</x:v>
      </x:c>
      <x:c r="D135" s="35" t="n">
        <x:v>1</x:v>
      </x:c>
      <x:c r="E135" s="21" t="str">
        <x:v>Literature-derived secondary evidence; sensory evaluation</x:v>
      </x:c>
      <x:c r="F135" s="21" t="str">
        <x:v>bitter; salt-enhancing activity also reported; reported assay value(s): 68.3 mM, 9.4%, 36.6%, 51 mmol/L</x:v>
      </x:c>
      <x:c r="G135" s="21" t="str">
        <x:v>fermented fish sauces</x:v>
      </x:c>
      <x:c r="H135" s="22" t="str">
        <x:v>BIOPEP-UWM; 10.1016/j.tifs.2022.11.</x:v>
      </x:c>
    </x:row>
    <x:row r="136" ht="32.400001525878906" hidden="0" customHeight="1">
      <x:c r="A136" s="34" t="n">
        <x:v>133</x:v>
      </x:c>
      <x:c r="B136" s="35" t="str">
        <x:v>RS</x:v>
      </x:c>
      <x:c r="C136" s="35" t="n">
        <x:f>LEN(B136)</x:f>
        <x:v>2</x:v>
      </x:c>
      <x:c r="D136" s="35" t="n">
        <x:v>1</x:v>
      </x:c>
      <x:c r="E136" s="21" t="str">
        <x:v>Literature-derived secondary evidence; literature-reported taste evidence</x:v>
      </x:c>
      <x:c r="F136" s="21" t="str">
        <x:v>salty; salt-enhancing activity also reported; detailed assay response available in source record</x:v>
      </x:c>
      <x:c r="G136" s="21" t="str">
        <x:v>fermented fish sauces; synthetic arginyl dipeptide; occurrence surveyed in protein hydrolysates and fermented fish sauces</x:v>
      </x:c>
      <x:c r="H136" s="22" t="str">
        <x:v>Current_curated; BIOPEP-UWM; 10.1016/j.tifs.2022.11.; jafc.2011.jf2041593</x:v>
      </x:c>
    </x:row>
    <x:row r="137" ht="21.600000381469727" hidden="0" customHeight="1">
      <x:c r="A137" s="34" t="n">
        <x:v>134</x:v>
      </x:c>
      <x:c r="B137" s="35" t="str">
        <x:v>TF</x:v>
      </x:c>
      <x:c r="C137" s="35" t="n">
        <x:f>LEN(B137)</x:f>
        <x:v>2</x:v>
      </x:c>
      <x:c r="D137" s="35" t="n">
        <x:v>1</x:v>
      </x:c>
      <x:c r="E137" s="21" t="str">
        <x:v>Literature-derived secondary evidence; sensory evaluation</x:v>
      </x:c>
      <x:c r="F137" s="21" t="str">
        <x:v>salty; salt-enhancing activity also reported; detailed assay response available in source record</x:v>
      </x:c>
      <x:c r="G137" s="21" t="str">
        <x:v>soy sauce</x:v>
      </x:c>
      <x:c r="H137" s="22" t="str">
        <x:v>10.1016/j.tifs.2022.11.</x:v>
      </x:c>
    </x:row>
    <x:row r="138" ht="32.400001525878906" hidden="0" customHeight="1">
      <x:c r="A138" s="34" t="n">
        <x:v>135</x:v>
      </x:c>
      <x:c r="B138" s="35" t="str">
        <x:v>VR</x:v>
      </x:c>
      <x:c r="C138" s="35" t="n">
        <x:f>LEN(B138)</x:f>
        <x:v>2</x:v>
      </x:c>
      <x:c r="D138" s="35" t="n">
        <x:v>1</x:v>
      </x:c>
      <x:c r="E138" s="21" t="str">
        <x:v>Literature-derived secondary evidence; literature-reported taste evidence</x:v>
      </x:c>
      <x:c r="F138" s="21" t="str">
        <x:v>salty; salt-enhancing activity also reported; detailed assay response available in source record</x:v>
      </x:c>
      <x:c r="G138" s="21" t="str">
        <x:v>fermented fish sauces; synthetic arginyl dipeptide; occurrence surveyed in protein hydrolysates and fermented fish sauces</x:v>
      </x:c>
      <x:c r="H138" s="22" t="str">
        <x:v>Current_curated; BIOPEP-UWM; 10.1016/j.tifs.2022.11.; jafc.2011.jf2041593</x:v>
      </x:c>
    </x:row>
    <x:row r="139" ht="21.600000381469727" hidden="0" customHeight="1">
      <x:c r="A139" s="34" t="n">
        <x:v>136</x:v>
      </x:c>
      <x:c r="B139" s="35" t="str">
        <x:v>KG</x:v>
      </x:c>
      <x:c r="C139" s="35" t="n">
        <x:f>LEN(B139)</x:f>
        <x:v>2</x:v>
      </x:c>
      <x:c r="D139" s="35" t="n">
        <x:v>1</x:v>
      </x:c>
      <x:c r="E139" s="21" t="str">
        <x:v>Direct sensory evidence; synthetic/isolated peptide; sensory evaluation; electronic tongue; taste-threshold test</x:v>
      </x:c>
      <x:c r="F139" s="21" t="str">
        <x:v>salty, umami; reported assay value(s): 1.22 mM</x:v>
      </x:c>
      <x:c r="G139" s="21" t="str">
        <x:v>Yeast; synthetic fragment of beef-soup delicious peptide</x:v>
      </x:c>
      <x:c r="H139" s="22" t="str">
        <x:v>Current_curated; TastePeptidesDB; 10.1271/bbb.59.; abc.1989.10869317</x:v>
      </x:c>
    </x:row>
    <x:row r="140" ht="21.600000381469727" hidden="0" customHeight="1">
      <x:c r="A140" s="34" t="n">
        <x:v>137</x:v>
      </x:c>
      <x:c r="B140" s="35" t="str">
        <x:v>LR</x:v>
      </x:c>
      <x:c r="C140" s="35" t="n">
        <x:f>LEN(B140)</x:f>
        <x:v>2</x:v>
      </x:c>
      <x:c r="D140" s="35" t="n">
        <x:v>1</x:v>
      </x:c>
      <x:c r="E140" s="21" t="str">
        <x:v>Literature-derived secondary evidence; literature-reported taste evidence</x:v>
      </x:c>
      <x:c r="F140" s="21" t="str">
        <x:v>salty</x:v>
      </x:c>
      <x:c r="G140" s="21" t="str">
        <x:v>(Soy sauce)</x:v>
      </x:c>
      <x:c r="H140" s="22" t="str">
        <x:v>10.1016/j.fufo.2026.100930</x:v>
      </x:c>
    </x:row>
    <x:row r="141" ht="21.600000381469727" hidden="0" customHeight="1">
      <x:c r="A141" s="34" t="n">
        <x:v>138</x:v>
      </x:c>
      <x:c r="B141" s="35" t="str">
        <x:v>HV</x:v>
      </x:c>
      <x:c r="C141" s="35" t="n">
        <x:f>LEN(B141)</x:f>
        <x:v>2</x:v>
      </x:c>
      <x:c r="D141" s="35" t="n">
        <x:v>1</x:v>
      </x:c>
      <x:c r="E141" s="21" t="str">
        <x:v>Literature-derived secondary evidence; literature-reported taste evidence</x:v>
      </x:c>
      <x:c r="F141" s="21" t="str">
        <x:v>salty</x:v>
      </x:c>
      <x:c r="G141" s="21" t="str">
        <x:v>(Soy sauce)</x:v>
      </x:c>
      <x:c r="H141" s="22" t="str">
        <x:v>10.1016/j.fufo.2026.100930</x:v>
      </x:c>
    </x:row>
    <x:row r="142" ht="21.600000381469727" hidden="0" customHeight="1">
      <x:c r="A142" s="34" t="n">
        <x:v>139</x:v>
      </x:c>
      <x:c r="B142" s="35" t="str">
        <x:v>FH</x:v>
      </x:c>
      <x:c r="C142" s="35" t="n">
        <x:f>LEN(B142)</x:f>
        <x:v>2</x:v>
      </x:c>
      <x:c r="D142" s="35" t="n">
        <x:v>1</x:v>
      </x:c>
      <x:c r="E142" s="21" t="str">
        <x:v>Literature-derived secondary evidence; literature-reported taste evidence</x:v>
      </x:c>
      <x:c r="F142" s="21" t="str">
        <x:v>salty</x:v>
      </x:c>
      <x:c r="G142" s="21" t="str">
        <x:v>(Soy sauce)</x:v>
      </x:c>
      <x:c r="H142" s="22" t="str">
        <x:v>10.1016/j.fufo.2026.100930</x:v>
      </x:c>
    </x:row>
    <x:row r="143" ht="21.600000381469727" hidden="0" customHeight="1">
      <x:c r="A143" s="34" t="n">
        <x:v>140</x:v>
      </x:c>
      <x:c r="B143" s="35" t="str">
        <x:v>YW</x:v>
      </x:c>
      <x:c r="C143" s="35" t="n">
        <x:f>LEN(B143)</x:f>
        <x:v>2</x:v>
      </x:c>
      <x:c r="D143" s="35" t="n">
        <x:v>1</x:v>
      </x:c>
      <x:c r="E143" s="21" t="str">
        <x:v>Literature-derived secondary evidence; literature-reported taste evidence</x:v>
      </x:c>
      <x:c r="F143" s="21" t="str">
        <x:v>salty</x:v>
      </x:c>
      <x:c r="G143" s="21" t="str">
        <x:v>(Pea protein)</x:v>
      </x:c>
      <x:c r="H143" s="22" t="str">
        <x:v>10.1016/j.fufo.2026.100930</x:v>
      </x:c>
    </x:row>
    <x:row r="144" ht="21.600000381469727" hidden="0" customHeight="1">
      <x:c r="A144" s="34" t="n">
        <x:v>141</x:v>
      </x:c>
      <x:c r="B144" s="35" t="str">
        <x:v>FPPP</x:v>
      </x:c>
      <x:c r="C144" s="35" t="n">
        <x:f>LEN(B144)</x:f>
        <x:v>4</x:v>
      </x:c>
      <x:c r="D144" s="35" t="n">
        <x:v>1</x:v>
      </x:c>
      <x:c r="E144" s="21" t="str">
        <x:v>Literature-derived secondary evidence; literature-reported taste evidence</x:v>
      </x:c>
      <x:c r="F144" s="21" t="str">
        <x:v>salty</x:v>
      </x:c>
      <x:c r="G144" s="21" t="str">
        <x:v>Soy protein isolate)</x:v>
      </x:c>
      <x:c r="H144" s="22" t="str">
        <x:v>10.1016/j.fufo.2026.100930</x:v>
      </x:c>
    </x:row>
    <x:row r="145" ht="21.600000381469727" hidden="0" customHeight="1">
      <x:c r="A145" s="34" t="n">
        <x:v>142</x:v>
      </x:c>
      <x:c r="B145" s="35" t="str">
        <x:v>GGPW</x:v>
      </x:c>
      <x:c r="C145" s="35" t="n">
        <x:f>LEN(B145)</x:f>
        <x:v>4</x:v>
      </x:c>
      <x:c r="D145" s="35" t="n">
        <x:v>1</x:v>
      </x:c>
      <x:c r="E145" s="21" t="str">
        <x:v>Literature-derived secondary evidence; literature-reported taste evidence</x:v>
      </x:c>
      <x:c r="F145" s="21" t="str">
        <x:v>salty</x:v>
      </x:c>
      <x:c r="G145" s="21" t="str">
        <x:v>Soy protein isolate)</x:v>
      </x:c>
      <x:c r="H145" s="22" t="str">
        <x:v>10.1016/j.fufo.2026.100930</x:v>
      </x:c>
    </x:row>
    <x:row r="146" ht="21.600000381469727" hidden="0" customHeight="1">
      <x:c r="A146" s="34" t="n">
        <x:v>143</x:v>
      </x:c>
      <x:c r="B146" s="35" t="str">
        <x:v>IPHF</x:v>
      </x:c>
      <x:c r="C146" s="35" t="n">
        <x:f>LEN(B146)</x:f>
        <x:v>4</x:v>
      </x:c>
      <x:c r="D146" s="35" t="n">
        <x:v>1</x:v>
      </x:c>
      <x:c r="E146" s="21" t="str">
        <x:v>Literature-derived secondary evidence; literature-reported taste evidence</x:v>
      </x:c>
      <x:c r="F146" s="21" t="str">
        <x:v>salty</x:v>
      </x:c>
      <x:c r="G146" s="21" t="str">
        <x:v>Soy protein isolate)</x:v>
      </x:c>
      <x:c r="H146" s="22" t="str">
        <x:v>10.1016/j.fufo.2026.100930</x:v>
      </x:c>
    </x:row>
    <x:row r="147" ht="21.600000381469727" hidden="0" customHeight="1">
      <x:c r="A147" s="34" t="n">
        <x:v>144</x:v>
      </x:c>
      <x:c r="B147" s="35" t="str">
        <x:v>IPRR</x:v>
      </x:c>
      <x:c r="C147" s="35" t="n">
        <x:f>LEN(B147)</x:f>
        <x:v>4</x:v>
      </x:c>
      <x:c r="D147" s="35" t="n">
        <x:v>1</x:v>
      </x:c>
      <x:c r="E147" s="21" t="str">
        <x:v>Literature-derived secondary evidence; literature-reported taste evidence</x:v>
      </x:c>
      <x:c r="F147" s="21" t="str">
        <x:v>salty</x:v>
      </x:c>
      <x:c r="G147" s="21" t="str">
        <x:v>Soy protein isolate)</x:v>
      </x:c>
      <x:c r="H147" s="22" t="str">
        <x:v>10.1016/j.fufo.2026.100930</x:v>
      </x:c>
    </x:row>
    <x:row r="148" ht="21.600000381469727" hidden="0" customHeight="1">
      <x:c r="A148" s="34" t="n">
        <x:v>145</x:v>
      </x:c>
      <x:c r="B148" s="35" t="str">
        <x:v>LPRR</x:v>
      </x:c>
      <x:c r="C148" s="35" t="n">
        <x:f>LEN(B148)</x:f>
        <x:v>4</x:v>
      </x:c>
      <x:c r="D148" s="35" t="n">
        <x:v>1</x:v>
      </x:c>
      <x:c r="E148" s="21" t="str">
        <x:v>Literature-derived secondary evidence; literature-reported taste evidence</x:v>
      </x:c>
      <x:c r="F148" s="21" t="str">
        <x:v>salty</x:v>
      </x:c>
      <x:c r="G148" s="21" t="str">
        <x:v>Soy protein isolate)</x:v>
      </x:c>
      <x:c r="H148" s="22" t="str">
        <x:v>10.1016/j.fufo.2026.100930</x:v>
      </x:c>
    </x:row>
    <x:row r="149" ht="21.600000381469727" hidden="0" customHeight="1">
      <x:c r="A149" s="34" t="n">
        <x:v>146</x:v>
      </x:c>
      <x:c r="B149" s="35" t="str">
        <x:v>LPHF</x:v>
      </x:c>
      <x:c r="C149" s="35" t="n">
        <x:f>LEN(B149)</x:f>
        <x:v>4</x:v>
      </x:c>
      <x:c r="D149" s="35" t="n">
        <x:v>1</x:v>
      </x:c>
      <x:c r="E149" s="21" t="str">
        <x:v>Literature-derived secondary evidence; literature-reported taste evidence</x:v>
      </x:c>
      <x:c r="F149" s="21" t="str">
        <x:v>salty</x:v>
      </x:c>
      <x:c r="G149" s="21" t="str">
        <x:v>Soy protein isolate)</x:v>
      </x:c>
      <x:c r="H149" s="22" t="str">
        <x:v>10.1016/j.fufo.2026.100930</x:v>
      </x:c>
    </x:row>
    <x:row r="150" ht="21.600000381469727" hidden="0" customHeight="1">
      <x:c r="A150" s="34" t="n">
        <x:v>147</x:v>
      </x:c>
      <x:c r="B150" s="35" t="str">
        <x:v>PHSP</x:v>
      </x:c>
      <x:c r="C150" s="35" t="n">
        <x:f>LEN(B150)</x:f>
        <x:v>4</x:v>
      </x:c>
      <x:c r="D150" s="35" t="n">
        <x:v>1</x:v>
      </x:c>
      <x:c r="E150" s="21" t="str">
        <x:v>Literature-derived secondary evidence; literature-reported taste evidence</x:v>
      </x:c>
      <x:c r="F150" s="21" t="str">
        <x:v>salty</x:v>
      </x:c>
      <x:c r="G150" s="21" t="str">
        <x:v>(Porphyra haitanensis)</x:v>
      </x:c>
      <x:c r="H150" s="22" t="str">
        <x:v>10.1016/j.fufo.2026.100930</x:v>
      </x:c>
    </x:row>
    <x:row r="151" ht="21.600000381469727" hidden="0" customHeight="1">
      <x:c r="A151" s="34" t="n">
        <x:v>148</x:v>
      </x:c>
      <x:c r="B151" s="35" t="str">
        <x:v>GEHE</x:v>
      </x:c>
      <x:c r="C151" s="35" t="n">
        <x:f>LEN(B151)</x:f>
        <x:v>4</x:v>
      </x:c>
      <x:c r="D151" s="35" t="n">
        <x:v>1</x:v>
      </x:c>
      <x:c r="E151" s="21" t="str">
        <x:v>Literature-derived secondary evidence; literature-reported taste evidence</x:v>
      </x:c>
      <x:c r="F151" s="21" t="str">
        <x:v>salty</x:v>
      </x:c>
      <x:c r="G151" s="21" t="str">
        <x:v>(Pea protein)</x:v>
      </x:c>
      <x:c r="H151" s="22" t="str">
        <x:v>10.1016/j.fufo.2026.100930</x:v>
      </x:c>
    </x:row>
    <x:row r="152" ht="21.600000381469727" hidden="0" customHeight="1">
      <x:c r="A152" s="34" t="n">
        <x:v>149</x:v>
      </x:c>
      <x:c r="B152" s="35" t="str">
        <x:v>GAGK</x:v>
      </x:c>
      <x:c r="C152" s="35" t="n">
        <x:f>LEN(B152)</x:f>
        <x:v>4</x:v>
      </x:c>
      <x:c r="D152" s="35" t="n">
        <x:v>1</x:v>
      </x:c>
      <x:c r="E152" s="21" t="str">
        <x:v>Literature-derived secondary evidence; literature-reported taste evidence</x:v>
      </x:c>
      <x:c r="F152" s="21" t="str">
        <x:v>salty</x:v>
      </x:c>
      <x:c r="G152" s="21" t="str">
        <x:v>(Pea protein)</x:v>
      </x:c>
      <x:c r="H152" s="22" t="str">
        <x:v>10.1016/j.fufo.2026.100930</x:v>
      </x:c>
    </x:row>
    <x:row r="153" ht="21.600000381469727" hidden="0" customHeight="1">
      <x:c r="A153" s="34" t="n">
        <x:v>150</x:v>
      </x:c>
      <x:c r="B153" s="35" t="str">
        <x:v>EQQQQ</x:v>
      </x:c>
      <x:c r="C153" s="35" t="n">
        <x:f>LEN(B153)</x:f>
        <x:v>5</x:v>
      </x:c>
      <x:c r="D153" s="35" t="n">
        <x:v>1</x:v>
      </x:c>
      <x:c r="E153" s="21" t="str">
        <x:v>Literature-derived secondary evidence; literature-reported taste evidence</x:v>
      </x:c>
      <x:c r="F153" s="21" t="str">
        <x:v>salty, umami, sour, astringent</x:v>
      </x:c>
      <x:c r="G153" s="21" t="str">
        <x:v>(Soy sauce); Sauce</x:v>
      </x:c>
      <x:c r="H153" s="22" t="str">
        <x:v>TastePeptidesDB; 10.1016/j.fufo.2026.100930</x:v>
      </x:c>
    </x:row>
    <x:row r="154" ht="21.600000381469727" hidden="0" customHeight="1">
      <x:c r="A154" s="34" t="n">
        <x:v>151</x:v>
      </x:c>
      <x:c r="B154" s="35" t="str">
        <x:v>PHEMQ</x:v>
      </x:c>
      <x:c r="C154" s="35" t="n">
        <x:f>LEN(B154)</x:f>
        <x:v>5</x:v>
      </x:c>
      <x:c r="D154" s="35" t="n">
        <x:v>1</x:v>
      </x:c>
      <x:c r="E154" s="21" t="str">
        <x:v>Literature-derived secondary evidence; literature-reported taste evidence</x:v>
      </x:c>
      <x:c r="F154" s="21" t="str">
        <x:v>salty, umami</x:v>
      </x:c>
      <x:c r="G154" s="21" t="str">
        <x:v>stropharia rugosaPeptide; Mushroom</x:v>
      </x:c>
      <x:c r="H154" s="22" t="str">
        <x:v>TastePeptidesDB; 10.1016/j.fufo.2026.100930</x:v>
      </x:c>
    </x:row>
    <x:row r="155" ht="21.600000381469727" hidden="0" customHeight="1">
      <x:c r="A155" s="34" t="n">
        <x:v>152</x:v>
      </x:c>
      <x:c r="B155" s="35" t="str">
        <x:v>ERFGP</x:v>
      </x:c>
      <x:c r="C155" s="35" t="n">
        <x:f>LEN(B155)</x:f>
        <x:v>5</x:v>
      </x:c>
      <x:c r="D155" s="35" t="n">
        <x:v>1</x:v>
      </x:c>
      <x:c r="E155" s="21" t="str">
        <x:v>Literature-derived secondary evidence; literature-reported taste evidence</x:v>
      </x:c>
      <x:c r="F155" s="21" t="str">
        <x:v>salty</x:v>
      </x:c>
      <x:c r="G155" s="21" t="str">
        <x:v>(Pea protein)</x:v>
      </x:c>
      <x:c r="H155" s="22" t="str">
        <x:v>10.1016/j.fufo.2026.100930</x:v>
      </x:c>
    </x:row>
    <x:row r="156" ht="21.600000381469727" hidden="0" customHeight="1">
      <x:c r="A156" s="34" t="n">
        <x:v>153</x:v>
      </x:c>
      <x:c r="B156" s="35" t="str">
        <x:v>PGAGN</x:v>
      </x:c>
      <x:c r="C156" s="35" t="n">
        <x:f>LEN(B156)</x:f>
        <x:v>5</x:v>
      </x:c>
      <x:c r="D156" s="35" t="n">
        <x:v>1</x:v>
      </x:c>
      <x:c r="E156" s="21" t="str">
        <x:v>Literature-derived secondary evidence; literature-reported taste evidence</x:v>
      </x:c>
      <x:c r="F156" s="21" t="str">
        <x:v>salty</x:v>
      </x:c>
      <x:c r="G156" s="21" t="str">
        <x:v>(Pea protein)</x:v>
      </x:c>
      <x:c r="H156" s="22" t="str">
        <x:v>10.1016/j.fufo.2026.100930</x:v>
      </x:c>
    </x:row>
    <x:row r="157" ht="21.600000381469727" hidden="0" customHeight="1">
      <x:c r="A157" s="34" t="n">
        <x:v>154</x:v>
      </x:c>
      <x:c r="B157" s="35" t="str">
        <x:v>HNESQN</x:v>
      </x:c>
      <x:c r="C157" s="35" t="n">
        <x:f>LEN(B157)</x:f>
        <x:v>6</x:v>
      </x:c>
      <x:c r="D157" s="35" t="n">
        <x:v>1</x:v>
      </x:c>
      <x:c r="E157" s="21" t="str">
        <x:v>Literature-derived secondary evidence; literature-reported taste evidence</x:v>
      </x:c>
      <x:c r="F157" s="21" t="str">
        <x:v>salty, umami, sour</x:v>
      </x:c>
      <x:c r="G157" s="21" t="str">
        <x:v>Ruditapes philippinarum; Clam</x:v>
      </x:c>
      <x:c r="H157" s="22" t="str">
        <x:v>TastePeptidesDB; 10.1016/j.fufo.2026.100930</x:v>
      </x:c>
    </x:row>
    <x:row r="158" ht="21.600000381469727" hidden="0" customHeight="1">
      <x:c r="A158" s="34" t="n">
        <x:v>155</x:v>
      </x:c>
      <x:c r="B158" s="35" t="str">
        <x:v>STELFK</x:v>
      </x:c>
      <x:c r="C158" s="35" t="n">
        <x:f>LEN(B158)</x:f>
        <x:v>6</x:v>
      </x:c>
      <x:c r="D158" s="35" t="n">
        <x:v>1</x:v>
      </x:c>
      <x:c r="E158" s="21" t="str">
        <x:v>Literature-derived secondary evidence; literature-reported taste evidence</x:v>
      </x:c>
      <x:c r="F158" s="21" t="str">
        <x:v>salty</x:v>
      </x:c>
      <x:c r="G158" s="21" t="str">
        <x:v>Tilapia lower jaw</x:v>
      </x:c>
      <x:c r="H158" s="22" t="str">
        <x:v>10.1016/j.fufo.2026.100930</x:v>
      </x:c>
    </x:row>
    <x:row r="159" ht="21.600000381469727" hidden="0" customHeight="1">
      <x:c r="A159" s="34" t="n">
        <x:v>156</x:v>
      </x:c>
      <x:c r="B159" s="35" t="str">
        <x:v>WDDMEK</x:v>
      </x:c>
      <x:c r="C159" s="35" t="n">
        <x:f>LEN(B159)</x:f>
        <x:v>6</x:v>
      </x:c>
      <x:c r="D159" s="35" t="n">
        <x:v>1</x:v>
      </x:c>
      <x:c r="E159" s="21" t="str">
        <x:v>Literature-derived secondary evidence; literature-reported taste evidence</x:v>
      </x:c>
      <x:c r="F159" s="21" t="str">
        <x:v>salty, umami, sour, kokumi</x:v>
      </x:c>
      <x:c r="G159" s="21" t="str">
        <x:v>Trachinotus ovatus hydrolysate; Trachinotus</x:v>
      </x:c>
      <x:c r="H159" s="22" t="str">
        <x:v>TastePeptidesDB; 10.1016/j.fufo.2026.100930</x:v>
      </x:c>
    </x:row>
    <x:row r="160" ht="21.600000381469727" hidden="0" customHeight="1">
      <x:c r="A160" s="34" t="n">
        <x:v>157</x:v>
      </x:c>
      <x:c r="B160" s="35" t="str">
        <x:v>SEPSHF</x:v>
      </x:c>
      <x:c r="C160" s="35" t="n">
        <x:f>LEN(B160)</x:f>
        <x:v>6</x:v>
      </x:c>
      <x:c r="D160" s="35" t="n">
        <x:v>1</x:v>
      </x:c>
      <x:c r="E160" s="21" t="str">
        <x:v>Literature-derived secondary evidence; literature-reported taste evidence</x:v>
      </x:c>
      <x:c r="F160" s="21" t="str">
        <x:v>salty, umami</x:v>
      </x:c>
      <x:c r="G160" s="21" t="str">
        <x:v>stropharia rugosaPeptide; Mushroom</x:v>
      </x:c>
      <x:c r="H160" s="22" t="str">
        <x:v>TastePeptidesDB; 10.1016/j.fufo.2026.100930</x:v>
      </x:c>
    </x:row>
    <x:row r="161" ht="21.600000381469727" hidden="0" customHeight="1">
      <x:c r="A161" s="34" t="n">
        <x:v>158</x:v>
      </x:c>
      <x:c r="B161" s="35" t="str">
        <x:v>EPLCNQ</x:v>
      </x:c>
      <x:c r="C161" s="35" t="n">
        <x:f>LEN(B161)</x:f>
        <x:v>6</x:v>
      </x:c>
      <x:c r="D161" s="35" t="n">
        <x:v>1</x:v>
      </x:c>
      <x:c r="E161" s="21" t="str">
        <x:v>Literature-derived secondary evidence; literature-reported taste evidence</x:v>
      </x:c>
      <x:c r="F161" s="21" t="str">
        <x:v>salty, umami</x:v>
      </x:c>
      <x:c r="G161" s="21" t="str">
        <x:v>stropharia rugosaPeptide; Mushroom</x:v>
      </x:c>
      <x:c r="H161" s="22" t="str">
        <x:v>TastePeptidesDB; 10.1016/j.fufo.2026.100930</x:v>
      </x:c>
    </x:row>
    <x:row r="162" ht="21.600000381469727" hidden="0" customHeight="1">
      <x:c r="A162" s="34" t="n">
        <x:v>159</x:v>
      </x:c>
      <x:c r="B162" s="35" t="str">
        <x:v>LGDVLVR</x:v>
      </x:c>
      <x:c r="C162" s="35" t="n">
        <x:f>LEN(B162)</x:f>
        <x:v>7</x:v>
      </x:c>
      <x:c r="D162" s="35" t="n">
        <x:v>1</x:v>
      </x:c>
      <x:c r="E162" s="21" t="str">
        <x:v>Literature-derived secondary evidence; literature-reported taste evidence</x:v>
      </x:c>
      <x:c r="F162" s="21" t="str">
        <x:v>salty, umami, sour</x:v>
      </x:c>
      <x:c r="G162" s="21" t="str">
        <x:v>Trachinotus ovatus hydrolysate; Trachinotus</x:v>
      </x:c>
      <x:c r="H162" s="22" t="str">
        <x:v>TastePeptidesDB; 10.1016/j.fufo.2026.100930</x:v>
      </x:c>
    </x:row>
    <x:row r="163" ht="21.600000381469727" hidden="0" customHeight="1">
      <x:c r="A163" s="34" t="n">
        <x:v>160</x:v>
      </x:c>
      <x:c r="B163" s="35" t="str">
        <x:v>NEALQRM</x:v>
      </x:c>
      <x:c r="C163" s="35" t="n">
        <x:f>LEN(B163)</x:f>
        <x:v>7</x:v>
      </x:c>
      <x:c r="D163" s="35" t="n">
        <x:v>1</x:v>
      </x:c>
      <x:c r="E163" s="21" t="str">
        <x:v>Literature-derived secondary evidence; literature-reported taste evidence</x:v>
      </x:c>
      <x:c r="F163" s="21" t="str">
        <x:v>salty</x:v>
      </x:c>
      <x:c r="G163" s="21" t="str">
        <x:v>(Isolation and extraction of fermented goose blood from Lactobacillus plant strains)</x:v>
      </x:c>
      <x:c r="H163" s="22" t="str">
        <x:v>10.1016/j.fufo.2026.100930</x:v>
      </x:c>
    </x:row>
    <x:row r="164" ht="21.600000381469727" hidden="0" customHeight="1">
      <x:c r="A164" s="34" t="n">
        <x:v>161</x:v>
      </x:c>
      <x:c r="B164" s="35" t="str">
        <x:v>SGCVNEL</x:v>
      </x:c>
      <x:c r="C164" s="35" t="n">
        <x:f>LEN(B164)</x:f>
        <x:v>7</x:v>
      </x:c>
      <x:c r="D164" s="35" t="n">
        <x:v>1</x:v>
      </x:c>
      <x:c r="E164" s="21" t="str">
        <x:v>Literature-derived secondary evidence; literature-reported taste evidence</x:v>
      </x:c>
      <x:c r="F164" s="21" t="str">
        <x:v>salty, umami</x:v>
      </x:c>
      <x:c r="G164" s="21" t="str">
        <x:v>stropharia rugosaPeptide; Mushroom</x:v>
      </x:c>
      <x:c r="H164" s="22" t="str">
        <x:v>TastePeptidesDB; 10.1016/j.fufo.2026.100930</x:v>
      </x:c>
    </x:row>
    <x:row r="165" ht="21.600000381469727" hidden="0" customHeight="1">
      <x:c r="A165" s="34" t="n">
        <x:v>162</x:v>
      </x:c>
      <x:c r="B165" s="35" t="str">
        <x:v>ESCAPQL</x:v>
      </x:c>
      <x:c r="C165" s="35" t="n">
        <x:f>LEN(B165)</x:f>
        <x:v>7</x:v>
      </x:c>
      <x:c r="D165" s="35" t="n">
        <x:v>1</x:v>
      </x:c>
      <x:c r="E165" s="21" t="str">
        <x:v>Literature-derived secondary evidence; literature-reported taste evidence</x:v>
      </x:c>
      <x:c r="F165" s="21" t="str">
        <x:v>salty, umami</x:v>
      </x:c>
      <x:c r="G165" s="21" t="str">
        <x:v>stropharia rugosaPeptide; Mushroom</x:v>
      </x:c>
      <x:c r="H165" s="22" t="str">
        <x:v>TastePeptidesDB; 10.1016/j.fufo.2026.100930</x:v>
      </x:c>
    </x:row>
    <x:row r="166" ht="21.600000381469727" hidden="0" customHeight="1">
      <x:c r="A166" s="34" t="n">
        <x:v>163</x:v>
      </x:c>
      <x:c r="B166" s="35" t="str">
        <x:v>SLADEEKG</x:v>
      </x:c>
      <x:c r="C166" s="35" t="n">
        <x:f>LEN(B166)</x:f>
        <x:v>8</x:v>
      </x:c>
      <x:c r="D166" s="35" t="n">
        <x:v>1</x:v>
      </x:c>
      <x:c r="E166" s="21" t="str">
        <x:v>Literature-derived secondary evidence; literature-reported taste evidence</x:v>
      </x:c>
      <x:c r="F166" s="21" t="str">
        <x:v>salty</x:v>
      </x:c>
      <x:c r="G166" s="21" t="str">
        <x:v>chemically synthesized analogs</x:v>
      </x:c>
      <x:c r="H166" s="22" t="str">
        <x:v>10.1016/j.fufo.2026.100930</x:v>
      </x:c>
    </x:row>
    <x:row r="167" ht="21.600000381469727" hidden="0" customHeight="1">
      <x:c r="A167" s="34" t="n">
        <x:v>164</x:v>
      </x:c>
      <x:c r="B167" s="35" t="str">
        <x:v>MLKKKKLA</x:v>
      </x:c>
      <x:c r="C167" s="35" t="n">
        <x:f>LEN(B167)</x:f>
        <x:v>8</x:v>
      </x:c>
      <x:c r="D167" s="35" t="n">
        <x:v>1</x:v>
      </x:c>
      <x:c r="E167" s="21" t="str">
        <x:v>Literature-derived secondary evidence; literature-reported taste evidence</x:v>
      </x:c>
      <x:c r="F167" s="21" t="str">
        <x:v>salty</x:v>
      </x:c>
      <x:c r="G167" s="21" t="str">
        <x:v>(both Termitomyces mus hrooms of T. intermedius and T. aff)</x:v>
      </x:c>
      <x:c r="H167" s="22" t="str">
        <x:v>10.1016/j.fufo.2026.100930</x:v>
      </x:c>
    </x:row>
    <x:row r="168" ht="21.600000381469727" hidden="0" customHeight="1">
      <x:c r="A168" s="34" t="n">
        <x:v>165</x:v>
      </x:c>
      <x:c r="B168" s="35" t="str">
        <x:v>GDAVKNLD</x:v>
      </x:c>
      <x:c r="C168" s="35" t="n">
        <x:f>LEN(B168)</x:f>
        <x:v>8</x:v>
      </x:c>
      <x:c r="D168" s="35" t="n">
        <x:v>1</x:v>
      </x:c>
      <x:c r="E168" s="21" t="str">
        <x:v>Literature-derived secondary evidence; literature-reported taste evidence</x:v>
      </x:c>
      <x:c r="F168" s="21" t="str">
        <x:v>salty</x:v>
      </x:c>
      <x:c r="G168" s="21" t="str">
        <x:v>(Isolation and extraction of fermented goose blood from Lactobacillus plant strains)</x:v>
      </x:c>
      <x:c r="H168" s="22" t="str">
        <x:v>10.1016/j.fufo.2026.100930</x:v>
      </x:c>
    </x:row>
    <x:row r="169" ht="21.600000381469727" hidden="0" customHeight="1">
      <x:c r="A169" s="34" t="n">
        <x:v>166</x:v>
      </x:c>
      <x:c r="B169" s="35" t="str">
        <x:v>KLNDAQAPK</x:v>
      </x:c>
      <x:c r="C169" s="35" t="n">
        <x:f>LEN(B169)</x:f>
        <x:v>9</x:v>
      </x:c>
      <x:c r="D169" s="35" t="n">
        <x:v>1</x:v>
      </x:c>
      <x:c r="E169" s="21" t="str">
        <x:v>Literature-derived secondary evidence; literature-reported taste evidence</x:v>
      </x:c>
      <x:c r="F169" s="21" t="str">
        <x:v>salty</x:v>
      </x:c>
      <x:c r="G169" s="21" t="str">
        <x:v>(both Termitomyces mus hrooms of T. intermedius and T. aff)</x:v>
      </x:c>
      <x:c r="H169" s="22" t="str">
        <x:v>10.1016/j.fufo.2026.100930</x:v>
      </x:c>
    </x:row>
    <x:row r="170" ht="21.600000381469727" hidden="0" customHeight="1">
      <x:c r="A170" s="34" t="n">
        <x:v>167</x:v>
      </x:c>
      <x:c r="B170" s="35" t="str">
        <x:v>DSTDEKFLR</x:v>
      </x:c>
      <x:c r="C170" s="35" t="n">
        <x:f>LEN(B170)</x:f>
        <x:v>9</x:v>
      </x:c>
      <x:c r="D170" s="35" t="n">
        <x:v>1</x:v>
      </x:c>
      <x:c r="E170" s="21" t="str">
        <x:v>Literature-derived secondary evidence; literature-reported taste evidence</x:v>
      </x:c>
      <x:c r="F170" s="21" t="str">
        <x:v>salty</x:v>
      </x:c>
      <x:c r="G170" s="21" t="str">
        <x:v>(both Termitomyces mus hrooms of T. intermedius and T. aff)</x:v>
      </x:c>
      <x:c r="H170" s="22" t="str">
        <x:v>10.1016/j.fufo.2026.100930</x:v>
      </x:c>
    </x:row>
    <x:row r="171" ht="21.600000381469727" hidden="0" customHeight="1">
      <x:c r="A171" s="34" t="n">
        <x:v>168</x:v>
      </x:c>
      <x:c r="B171" s="35" t="str">
        <x:v>PEGADKPNK</x:v>
      </x:c>
      <x:c r="C171" s="35" t="n">
        <x:f>LEN(B171)</x:f>
        <x:v>9</x:v>
      </x:c>
      <x:c r="D171" s="35" t="n">
        <x:v>1</x:v>
      </x:c>
      <x:c r="E171" s="21" t="str">
        <x:v>Literature-derived secondary evidence; literature-reported taste evidence</x:v>
      </x:c>
      <x:c r="F171" s="21" t="str">
        <x:v>salty</x:v>
      </x:c>
      <x:c r="G171" s="21" t="str">
        <x:v>(both Termitomyces mus hrooms of T. intermedius and T. aff)</x:v>
      </x:c>
      <x:c r="H171" s="22" t="str">
        <x:v>10.1016/j.fufo.2026.100930</x:v>
      </x:c>
    </x:row>
    <x:row r="172" ht="21.600000381469727" hidden="0" customHeight="1">
      <x:c r="A172" s="34" t="n">
        <x:v>169</x:v>
      </x:c>
      <x:c r="B172" s="35" t="str">
        <x:v>PEMHAAFDK</x:v>
      </x:c>
      <x:c r="C172" s="35" t="n">
        <x:f>LEN(B172)</x:f>
        <x:v>9</x:v>
      </x:c>
      <x:c r="D172" s="35" t="n">
        <x:v>1</x:v>
      </x:c>
      <x:c r="E172" s="21" t="str">
        <x:v>Literature-derived secondary evidence; literature-reported taste evidence</x:v>
      </x:c>
      <x:c r="F172" s="21" t="str">
        <x:v>salty</x:v>
      </x:c>
      <x:c r="G172" s="21" t="str">
        <x:v>(Isolation and extraction of fermented goose blood from Lactobacillus plant strains)</x:v>
      </x:c>
      <x:c r="H172" s="22" t="str">
        <x:v>10.1016/j.fufo.2026.100930</x:v>
      </x:c>
    </x:row>
    <x:row r="173" ht="21.600000381469727" hidden="0" customHeight="1">
      <x:c r="A173" s="34" t="n">
        <x:v>170</x:v>
      </x:c>
      <x:c r="B173" s="35" t="str">
        <x:v>ANPGPVRDLR</x:v>
      </x:c>
      <x:c r="C173" s="35" t="n">
        <x:f>LEN(B173)</x:f>
        <x:v>10</x:v>
      </x:c>
      <x:c r="D173" s="35" t="n">
        <x:v>1</x:v>
      </x:c>
      <x:c r="E173" s="21" t="str">
        <x:v>Literature-derived secondary evidence; literature-reported taste evidence</x:v>
      </x:c>
      <x:c r="F173" s="21" t="str">
        <x:v>salty, umami</x:v>
      </x:c>
      <x:c r="G173" s="21" t="str">
        <x:v>Clam meretrix meretrix Linnaeus, Takifugu rubripes; Clam</x:v>
      </x:c>
      <x:c r="H173" s="22" t="str">
        <x:v>TastePeptidesDB; 10.1016/j.fufo.2026.100930</x:v>
      </x:c>
    </x:row>
    <x:row r="174" ht="21.600000381469727" hidden="0" customHeight="1">
      <x:c r="A174" s="34" t="n">
        <x:v>171</x:v>
      </x:c>
      <x:c r="B174" s="35" t="str">
        <x:v>SLGFGGPPGY</x:v>
      </x:c>
      <x:c r="C174" s="35" t="n">
        <x:f>LEN(B174)</x:f>
        <x:v>10</x:v>
      </x:c>
      <x:c r="D174" s="35" t="n">
        <x:v>1</x:v>
      </x:c>
      <x:c r="E174" s="21" t="str">
        <x:v>Literature-derived secondary evidence; literature-reported taste evidence</x:v>
      </x:c>
      <x:c r="F174" s="21" t="str">
        <x:v>salty</x:v>
      </x:c>
      <x:c r="G174" s="21" t="str">
        <x:v>(both Termitomyces mus hrooms of T. intermedius and T. aff)</x:v>
      </x:c>
      <x:c r="H174" s="22" t="str">
        <x:v>10.1016/j.fufo.2026.100930</x:v>
      </x:c>
    </x:row>
    <x:row r="175" ht="21.600000381469727" hidden="0" customHeight="1">
      <x:c r="A175" s="34" t="n">
        <x:v>172</x:v>
      </x:c>
      <x:c r="B175" s="35" t="str">
        <x:v>SPEEKKEEET</x:v>
      </x:c>
      <x:c r="C175" s="35" t="n">
        <x:f>LEN(B175)</x:f>
        <x:v>10</x:v>
      </x:c>
      <x:c r="D175" s="35" t="n">
        <x:v>1</x:v>
      </x:c>
      <x:c r="E175" s="21" t="str">
        <x:v>Literature-derived secondary evidence; literature-reported taste evidence</x:v>
      </x:c>
      <x:c r="F175" s="21" t="str">
        <x:v>salty</x:v>
      </x:c>
      <x:c r="G175" s="21" t="str">
        <x:v>(both Termitomyces mus hrooms of T. intermedius and T. aff)</x:v>
      </x:c>
      <x:c r="H175" s="22" t="str">
        <x:v>10.1016/j.fufo.2026.100930</x:v>
      </x:c>
    </x:row>
    <x:row r="176" ht="21.600000381469727" hidden="0" customHeight="1">
      <x:c r="A176" s="34" t="n">
        <x:v>173</x:v>
      </x:c>
      <x:c r="B176" s="35" t="str">
        <x:v>AEEKQLITGL</x:v>
      </x:c>
      <x:c r="C176" s="35" t="n">
        <x:f>LEN(B176)</x:f>
        <x:v>10</x:v>
      </x:c>
      <x:c r="D176" s="35" t="n">
        <x:v>1</x:v>
      </x:c>
      <x:c r="E176" s="21" t="str">
        <x:v>Literature-derived secondary evidence; literature-reported taste evidence</x:v>
      </x:c>
      <x:c r="F176" s="21" t="str">
        <x:v>salty</x:v>
      </x:c>
      <x:c r="G176" s="21" t="str">
        <x:v>(Isolation and extraction of fermented goose blood from Lactobacillus plant strains)</x:v>
      </x:c>
      <x:c r="H176" s="22" t="str">
        <x:v>10.1016/j.fufo.2026.100930</x:v>
      </x:c>
    </x:row>
    <x:row r="177" ht="21.600000381469727" hidden="0" customHeight="1">
      <x:c r="A177" s="34" t="n">
        <x:v>174</x:v>
      </x:c>
      <x:c r="B177" s="35" t="str">
        <x:v>VGKGAHLSGEH</x:v>
      </x:c>
      <x:c r="C177" s="35" t="n">
        <x:f>LEN(B177)</x:f>
        <x:v>11</x:v>
      </x:c>
      <x:c r="D177" s="35" t="n">
        <x:v>1</x:v>
      </x:c>
      <x:c r="E177" s="21" t="str">
        <x:v>Literature-derived secondary evidence; literature-reported taste evidence</x:v>
      </x:c>
      <x:c r="F177" s="21" t="str">
        <x:v>salty</x:v>
      </x:c>
      <x:c r="G177" s="21" t="str">
        <x:v>(both Termitomyces mus hrooms of T. intermedius and T. aff)</x:v>
      </x:c>
      <x:c r="H177" s="22" t="str">
        <x:v>10.1016/j.fufo.2026.100930</x:v>
      </x:c>
    </x:row>
    <x:row r="178" ht="21.600000381469727" hidden="0" customHeight="1">
      <x:c r="A178" s="34" t="n">
        <x:v>175</x:v>
      </x:c>
      <x:c r="B178" s="35" t="str">
        <x:v>VEDEDEKPKEK</x:v>
      </x:c>
      <x:c r="C178" s="35" t="n">
        <x:f>LEN(B178)</x:f>
        <x:v>11</x:v>
      </x:c>
      <x:c r="D178" s="35" t="n">
        <x:v>1</x:v>
      </x:c>
      <x:c r="E178" s="21" t="str">
        <x:v>Literature-derived secondary evidence; literature-reported taste evidence</x:v>
      </x:c>
      <x:c r="F178" s="21" t="str">
        <x:v>salty</x:v>
      </x:c>
      <x:c r="G178" s="21" t="str">
        <x:v>(both Termitomyces mus hrooms of T. intermedius and T. aff)</x:v>
      </x:c>
      <x:c r="H178" s="22" t="str">
        <x:v>10.1016/j.fufo.2026.100930</x:v>
      </x:c>
    </x:row>
    <x:row r="179" ht="21.600000381469727" hidden="0" customHeight="1">
      <x:c r="A179" s="34" t="n">
        <x:v>176</x:v>
      </x:c>
      <x:c r="B179" s="35" t="str">
        <x:v>TVATFSSSTKPDD</x:v>
      </x:c>
      <x:c r="C179" s="35" t="n">
        <x:f>LEN(B179)</x:f>
        <x:v>13</x:v>
      </x:c>
      <x:c r="D179" s="35" t="n">
        <x:v>1</x:v>
      </x:c>
      <x:c r="E179" s="21" t="str">
        <x:v>Literature-derived secondary evidence; literature-reported taste evidence</x:v>
      </x:c>
      <x:c r="F179" s="21" t="str">
        <x:v>salty</x:v>
      </x:c>
      <x:c r="G179" s="21" t="str">
        <x:v>(both Termitomyces mus hrooms of T. intermedius and T. aff)</x:v>
      </x:c>
      <x:c r="H179" s="22" t="str">
        <x:v>10.1016/j.fufo.2026.100930</x:v>
      </x:c>
    </x:row>
    <x:row r="180" ht="21.600000381469727" hidden="0" customHeight="1">
      <x:c r="A180" s="34" t="n">
        <x:v>177</x:v>
      </x:c>
      <x:c r="B180" s="35" t="str">
        <x:v>AMDDDEADLLLLAM</x:v>
      </x:c>
      <x:c r="C180" s="35" t="n">
        <x:f>LEN(B180)</x:f>
        <x:v>14</x:v>
      </x:c>
      <x:c r="D180" s="35" t="n">
        <x:v>1</x:v>
      </x:c>
      <x:c r="E180" s="21" t="str">
        <x:v>Literature-derived secondary evidence; literature-reported taste evidence</x:v>
      </x:c>
      <x:c r="F180" s="21" t="str">
        <x:v>salty</x:v>
      </x:c>
      <x:c r="G180" s="21" t="str">
        <x:v>(both Termitomyces mus hrooms of T. intermedius and T. aff)</x:v>
      </x:c>
      <x:c r="H180" s="22" t="str">
        <x:v>10.1016/j.fufo.2026.100930</x:v>
      </x:c>
    </x:row>
    <x:row r="181" ht="21.600000381469727" hidden="0" customHeight="1">
      <x:c r="A181" s="34" t="n">
        <x:v>178</x:v>
      </x:c>
      <x:c r="B181" s="35" t="str">
        <x:v>GENEEEDSGAIVTVF</x:v>
      </x:c>
      <x:c r="C181" s="35" t="n">
        <x:f>LEN(B181)</x:f>
        <x:v>15</x:v>
      </x:c>
      <x:c r="D181" s="35" t="n">
        <x:v>1</x:v>
      </x:c>
      <x:c r="E181" s="21" t="str">
        <x:v>Literature-derived secondary evidence; literature-reported taste evidence</x:v>
      </x:c>
      <x:c r="F181" s="21" t="str">
        <x:v>salty</x:v>
      </x:c>
      <x:c r="G181" s="21" t="str">
        <x:v>Tempeh (Indonesian fermented soybean)</x:v>
      </x:c>
      <x:c r="H181" s="22" t="str">
        <x:v>10.1016/j.fufo.2026.100930</x:v>
      </x:c>
    </x:row>
    <x:row r="182" ht="15" hidden="0" customHeight="1">
      <x:c r="A182" s="34" t="n">
        <x:v>179</x:v>
      </x:c>
      <x:c r="B182" s="35" t="str">
        <x:v>AF</x:v>
      </x:c>
      <x:c r="C182" s="35" t="n">
        <x:f>LEN(B182)</x:f>
        <x:v>2</x:v>
      </x:c>
      <x:c r="D182" s="35" t="n">
        <x:v>1</x:v>
      </x:c>
      <x:c r="E182" s="21" t="str">
        <x:v>Database/compilation annotation; TastePeptidesDB</x:v>
      </x:c>
      <x:c r="F182" s="21" t="str">
        <x:v>salty, sour, bitter</x:v>
      </x:c>
      <x:c r="G182" s="21" t="str">
        <x:v>Chicken; Yeast</x:v>
      </x:c>
      <x:c r="H182" s="22" t="str">
        <x:v>TastePeptidesDB</x:v>
      </x:c>
    </x:row>
    <x:row r="183" ht="15" hidden="0" customHeight="1">
      <x:c r="A183" s="34" t="n">
        <x:v>180</x:v>
      </x:c>
      <x:c r="B183" s="35" t="str">
        <x:v>AT</x:v>
      </x:c>
      <x:c r="C183" s="35" t="n">
        <x:f>LEN(B183)</x:f>
        <x:v>2</x:v>
      </x:c>
      <x:c r="D183" s="35" t="n">
        <x:v>1</x:v>
      </x:c>
      <x:c r="E183" s="21" t="str">
        <x:v>Database/compilation annotation; TastePeptidesDB</x:v>
      </x:c>
      <x:c r="F183" s="21" t="str">
        <x:v>salty, umami, sweet</x:v>
      </x:c>
      <x:c r="G183" s="21" t="str">
        <x:v>Machine Learning</x:v>
      </x:c>
      <x:c r="H183" s="22" t="str">
        <x:v>TastePeptidesDB</x:v>
      </x:c>
    </x:row>
    <x:row r="184" ht="15" hidden="0" customHeight="1">
      <x:c r="A184" s="34" t="n">
        <x:v>181</x:v>
      </x:c>
      <x:c r="B184" s="35" t="str">
        <x:v>CY</x:v>
      </x:c>
      <x:c r="C184" s="35" t="n">
        <x:f>LEN(B184)</x:f>
        <x:v>2</x:v>
      </x:c>
      <x:c r="D184" s="35" t="n">
        <x:v>1</x:v>
      </x:c>
      <x:c r="E184" s="21" t="str">
        <x:v>Database/compilation annotation; Current_curated</x:v>
      </x:c>
      <x:c r="F184" s="21" t="str">
        <x:v>salty</x:v>
      </x:c>
      <x:c r="G184" s="21" t="str">
        <x:v>yeast extract</x:v>
      </x:c>
      <x:c r="H184" s="22" t="str">
        <x:v>Current_curated; foodchem.2022.132993</x:v>
      </x:c>
    </x:row>
    <x:row r="185" ht="15" hidden="0" customHeight="1">
      <x:c r="A185" s="34" t="n">
        <x:v>182</x:v>
      </x:c>
      <x:c r="B185" s="35" t="str">
        <x:v>EG</x:v>
      </x:c>
      <x:c r="C185" s="35" t="n">
        <x:f>LEN(B185)</x:f>
        <x:v>2</x:v>
      </x:c>
      <x:c r="D185" s="35" t="n">
        <x:v>1</x:v>
      </x:c>
      <x:c r="E185" s="21" t="str">
        <x:v>Database/compilation annotation; TastePeptidesDB</x:v>
      </x:c>
      <x:c r="F185" s="21" t="str">
        <x:v>salty, umami, sour, bitter, astringent</x:v>
      </x:c>
      <x:c r="G185" s="21" t="str">
        <x:v>Cheese; Mushroom</x:v>
      </x:c>
      <x:c r="H185" s="22" t="str">
        <x:v>TastePeptidesDB</x:v>
      </x:c>
    </x:row>
    <x:row r="186" ht="21.600000381469727" hidden="0" customHeight="1">
      <x:c r="A186" s="34" t="n">
        <x:v>183</x:v>
      </x:c>
      <x:c r="B186" s="35" t="str">
        <x:v>LS</x:v>
      </x:c>
      <x:c r="C186" s="35" t="n">
        <x:f>LEN(B186)</x:f>
        <x:v>2</x:v>
      </x:c>
      <x:c r="D186" s="35" t="n">
        <x:v>1</x:v>
      </x:c>
      <x:c r="E186" s="21" t="str">
        <x:v>Database/compilation annotation; Current_curated; TastePeptidesDB</x:v>
      </x:c>
      <x:c r="F186" s="21" t="str">
        <x:v>salty, bitter, astringent</x:v>
      </x:c>
      <x:c r="G186" s="21" t="str">
        <x:v>Machine Learning; synthetic peptide standard</x:v>
      </x:c>
      <x:c r="H186" s="22" t="str">
        <x:v>Current_curated; TastePeptidesDB; nskkk.2015.62.</x:v>
      </x:c>
    </x:row>
    <x:row r="187" ht="15" hidden="0" customHeight="1">
      <x:c r="A187" s="34" t="n">
        <x:v>184</x:v>
      </x:c>
      <x:c r="B187" s="35" t="str">
        <x:v>DAP</x:v>
      </x:c>
      <x:c r="C187" s="35" t="n">
        <x:f>LEN(B187)</x:f>
        <x:v>3</x:v>
      </x:c>
      <x:c r="D187" s="35" t="n">
        <x:v>1</x:v>
      </x:c>
      <x:c r="E187" s="21" t="str">
        <x:v>Database/compilation annotation; TastePeptidesDB</x:v>
      </x:c>
      <x:c r="F187" s="21" t="str">
        <x:v>salty, umami, sweet</x:v>
      </x:c>
      <x:c r="G187" s="21" t="str">
        <x:v>Machine Learning</x:v>
      </x:c>
      <x:c r="H187" s="22" t="str">
        <x:v>TastePeptidesDB</x:v>
      </x:c>
    </x:row>
    <x:row r="188" ht="15" hidden="0" customHeight="1">
      <x:c r="A188" s="34" t="n">
        <x:v>185</x:v>
      </x:c>
      <x:c r="B188" s="35" t="str">
        <x:v>DAT</x:v>
      </x:c>
      <x:c r="C188" s="35" t="n">
        <x:f>LEN(B188)</x:f>
        <x:v>3</x:v>
      </x:c>
      <x:c r="D188" s="35" t="n">
        <x:v>1</x:v>
      </x:c>
      <x:c r="E188" s="21" t="str">
        <x:v>Database/compilation annotation; TastePeptidesDB</x:v>
      </x:c>
      <x:c r="F188" s="21" t="str">
        <x:v>salty, umami, sweet</x:v>
      </x:c>
      <x:c r="G188" s="21" t="str">
        <x:v>Machine Learning</x:v>
      </x:c>
      <x:c r="H188" s="22" t="str">
        <x:v>TastePeptidesDB</x:v>
      </x:c>
    </x:row>
    <x:row r="189" ht="15" hidden="0" customHeight="1">
      <x:c r="A189" s="34" t="n">
        <x:v>186</x:v>
      </x:c>
      <x:c r="B189" s="35" t="str">
        <x:v>DIF</x:v>
      </x:c>
      <x:c r="C189" s="35" t="n">
        <x:f>LEN(B189)</x:f>
        <x:v>3</x:v>
      </x:c>
      <x:c r="D189" s="35" t="n">
        <x:v>1</x:v>
      </x:c>
      <x:c r="E189" s="21" t="str">
        <x:v>Database/compilation annotation; TastePeptidesDB</x:v>
      </x:c>
      <x:c r="F189" s="21" t="str">
        <x:v>salty</x:v>
      </x:c>
      <x:c r="G189" s="21" t="str">
        <x:v>Conglycini</x:v>
      </x:c>
      <x:c r="H189" s="22" t="str">
        <x:v>TastePeptidesDB</x:v>
      </x:c>
    </x:row>
    <x:row r="190" ht="15" hidden="0" customHeight="1">
      <x:c r="A190" s="34" t="n">
        <x:v>187</x:v>
      </x:c>
      <x:c r="B190" s="35" t="str">
        <x:v>LPG</x:v>
      </x:c>
      <x:c r="C190" s="35" t="n">
        <x:f>LEN(B190)</x:f>
        <x:v>3</x:v>
      </x:c>
      <x:c r="D190" s="35" t="n">
        <x:v>1</x:v>
      </x:c>
      <x:c r="E190" s="21" t="str">
        <x:v>Database/compilation annotation; TastePeptidesDB</x:v>
      </x:c>
      <x:c r="F190" s="21" t="str">
        <x:v>salty, umami, bitter, sweet</x:v>
      </x:c>
      <x:c r="G190" s="21" t="str">
        <x:v>Machine Learning</x:v>
      </x:c>
      <x:c r="H190" s="22" t="str">
        <x:v>TastePeptidesDB</x:v>
      </x:c>
    </x:row>
    <x:row r="191" ht="15" hidden="0" customHeight="1">
      <x:c r="A191" s="34" t="n">
        <x:v>188</x:v>
      </x:c>
      <x:c r="B191" s="35" t="str">
        <x:v>MMR</x:v>
      </x:c>
      <x:c r="C191" s="35" t="n">
        <x:f>LEN(B191)</x:f>
        <x:v>3</x:v>
      </x:c>
      <x:c r="D191" s="35" t="n">
        <x:v>1</x:v>
      </x:c>
      <x:c r="E191" s="21" t="str">
        <x:v>Database/compilation annotation; TastePeptidesDB</x:v>
      </x:c>
      <x:c r="F191" s="21" t="str">
        <x:v>salty</x:v>
      </x:c>
      <x:c r="G191" s="21" t="str">
        <x:v>Conglycini</x:v>
      </x:c>
      <x:c r="H191" s="22" t="str">
        <x:v>TastePeptidesDB</x:v>
      </x:c>
    </x:row>
    <x:row r="192" ht="15" hidden="0" customHeight="1">
      <x:c r="A192" s="34" t="n">
        <x:v>189</x:v>
      </x:c>
      <x:c r="B192" s="35" t="str">
        <x:v>QPR</x:v>
      </x:c>
      <x:c r="C192" s="35" t="n">
        <x:f>LEN(B192)</x:f>
        <x:v>3</x:v>
      </x:c>
      <x:c r="D192" s="35" t="n">
        <x:v>1</x:v>
      </x:c>
      <x:c r="E192" s="21" t="str">
        <x:v>Database/compilation annotation; TastePeptidesDB</x:v>
      </x:c>
      <x:c r="F192" s="21" t="str">
        <x:v>salty</x:v>
      </x:c>
      <x:c r="G192" s="21" t="str">
        <x:v>Conglycini</x:v>
      </x:c>
      <x:c r="H192" s="22" t="str">
        <x:v>TastePeptidesDB</x:v>
      </x:c>
    </x:row>
    <x:row r="193" ht="21.600000381469727" hidden="0" customHeight="1">
      <x:c r="A193" s="34" t="n">
        <x:v>190</x:v>
      </x:c>
      <x:c r="B193" s="35" t="str">
        <x:v>WDL</x:v>
      </x:c>
      <x:c r="C193" s="35" t="n">
        <x:f>LEN(B193)</x:f>
        <x:v>3</x:v>
      </x:c>
      <x:c r="D193" s="35" t="n">
        <x:v>1</x:v>
      </x:c>
      <x:c r="E193" s="21" t="str">
        <x:v>Database/compilation annotation; Current_curated</x:v>
      </x:c>
      <x:c r="F193" s="21" t="str">
        <x:v>sour</x:v>
      </x:c>
      <x:c r="G193" s="21" t="str">
        <x:v>Yeast; yeast protein hydrolysate; synthetic peptide standard</x:v>
      </x:c>
      <x:c r="H193" s="22" t="str">
        <x:v>Current_curated; foodchem.2024.139216</x:v>
      </x:c>
    </x:row>
    <x:row r="194" ht="15" hidden="0" customHeight="1">
      <x:c r="A194" s="34" t="n">
        <x:v>191</x:v>
      </x:c>
      <x:c r="B194" s="35" t="str">
        <x:v>YDQ</x:v>
      </x:c>
      <x:c r="C194" s="35" t="n">
        <x:f>LEN(B194)</x:f>
        <x:v>3</x:v>
      </x:c>
      <x:c r="D194" s="35" t="n">
        <x:v>1</x:v>
      </x:c>
      <x:c r="E194" s="21" t="str">
        <x:v>Database/compilation annotation; TastePeptidesDB</x:v>
      </x:c>
      <x:c r="F194" s="21" t="str">
        <x:v>salty, umami, sour</x:v>
      </x:c>
      <x:c r="G194" s="21" t="str">
        <x:v>Saccharomyces Cerevisiae; Yeast</x:v>
      </x:c>
      <x:c r="H194" s="22" t="str">
        <x:v>TastePeptidesDB</x:v>
      </x:c>
    </x:row>
    <x:row r="195" ht="15" hidden="0" customHeight="1">
      <x:c r="A195" s="34" t="n">
        <x:v>192</x:v>
      </x:c>
      <x:c r="B195" s="35" t="str">
        <x:v>APAP</x:v>
      </x:c>
      <x:c r="C195" s="35" t="n">
        <x:f>LEN(B195)</x:f>
        <x:v>4</x:v>
      </x:c>
      <x:c r="D195" s="35" t="n">
        <x:v>1</x:v>
      </x:c>
      <x:c r="E195" s="21" t="str">
        <x:v>Database/compilation annotation; TastePeptidesDB</x:v>
      </x:c>
      <x:c r="F195" s="21" t="str">
        <x:v>salty, sour</x:v>
      </x:c>
      <x:c r="G195" s="21" t="str">
        <x:v>Trachinotus</x:v>
      </x:c>
      <x:c r="H195" s="22" t="str">
        <x:v>TastePeptidesDB</x:v>
      </x:c>
    </x:row>
    <x:row r="196" ht="15" hidden="0" customHeight="1">
      <x:c r="A196" s="34" t="n">
        <x:v>193</x:v>
      </x:c>
      <x:c r="B196" s="35" t="str">
        <x:v>DEKR</x:v>
      </x:c>
      <x:c r="C196" s="35" t="n">
        <x:f>LEN(B196)</x:f>
        <x:v>4</x:v>
      </x:c>
      <x:c r="D196" s="35" t="n">
        <x:v>1</x:v>
      </x:c>
      <x:c r="E196" s="21" t="str">
        <x:v>Database/compilation annotation; BIOPEP-UWM</x:v>
      </x:c>
      <x:c r="F196" s="21" t="str">
        <x:v>salty</x:v>
      </x:c>
      <x:c r="G196" s="21" t="str">
        <x:v>Not reported</x:v>
      </x:c>
      <x:c r="H196" s="22" t="str">
        <x:v>BIOPEP-UWM</x:v>
      </x:c>
    </x:row>
    <x:row r="197" ht="15" hidden="0" customHeight="1">
      <x:c r="A197" s="34" t="n">
        <x:v>194</x:v>
      </x:c>
      <x:c r="B197" s="35" t="str">
        <x:v>DPIY</x:v>
      </x:c>
      <x:c r="C197" s="35" t="n">
        <x:f>LEN(B197)</x:f>
        <x:v>4</x:v>
      </x:c>
      <x:c r="D197" s="35" t="n">
        <x:v>1</x:v>
      </x:c>
      <x:c r="E197" s="21" t="str">
        <x:v>Database/compilation annotation; TastePeptidesDB</x:v>
      </x:c>
      <x:c r="F197" s="21" t="str">
        <x:v>salty</x:v>
      </x:c>
      <x:c r="G197" s="21" t="str">
        <x:v>Conglycini</x:v>
      </x:c>
      <x:c r="H197" s="22" t="str">
        <x:v>TastePeptidesDB</x:v>
      </x:c>
    </x:row>
    <x:row r="198" ht="15" hidden="0" customHeight="1">
      <x:c r="A198" s="34" t="n">
        <x:v>195</x:v>
      </x:c>
      <x:c r="B198" s="35" t="str">
        <x:v>EDCS</x:v>
      </x:c>
      <x:c r="C198" s="35" t="n">
        <x:f>LEN(B198)</x:f>
        <x:v>4</x:v>
      </x:c>
      <x:c r="D198" s="35" t="n">
        <x:v>1</x:v>
      </x:c>
      <x:c r="E198" s="21" t="str">
        <x:v>Database/compilation annotation; TastePeptidesDB</x:v>
      </x:c>
      <x:c r="F198" s="21" t="str">
        <x:v>salty, umami, sour</x:v>
      </x:c>
      <x:c r="G198" s="21" t="str">
        <x:v>Mushroom</x:v>
      </x:c>
      <x:c r="H198" s="22" t="str">
        <x:v>TastePeptidesDB</x:v>
      </x:c>
    </x:row>
    <x:row r="199" ht="15" hidden="0" customHeight="1">
      <x:c r="A199" s="34" t="n">
        <x:v>196</x:v>
      </x:c>
      <x:c r="B199" s="35" t="str">
        <x:v>EEDQ</x:v>
      </x:c>
      <x:c r="C199" s="35" t="n">
        <x:f>LEN(B199)</x:f>
        <x:v>4</x:v>
      </x:c>
      <x:c r="D199" s="35" t="n">
        <x:v>1</x:v>
      </x:c>
      <x:c r="E199" s="21" t="str">
        <x:v>Database/compilation annotation; TastePeptidesDB</x:v>
      </x:c>
      <x:c r="F199" s="21" t="str">
        <x:v>salty, umami</x:v>
      </x:c>
      <x:c r="G199" s="21" t="str">
        <x:v>Wheat</x:v>
      </x:c>
      <x:c r="H199" s="22" t="str">
        <x:v>TastePeptidesDB</x:v>
      </x:c>
    </x:row>
    <x:row r="200" ht="15" hidden="0" customHeight="1">
      <x:c r="A200" s="34" t="n">
        <x:v>197</x:v>
      </x:c>
      <x:c r="B200" s="35" t="str">
        <x:v>EELR</x:v>
      </x:c>
      <x:c r="C200" s="35" t="n">
        <x:f>LEN(B200)</x:f>
        <x:v>4</x:v>
      </x:c>
      <x:c r="D200" s="35" t="n">
        <x:v>1</x:v>
      </x:c>
      <x:c r="E200" s="21" t="str">
        <x:v>Database/compilation annotation; TastePeptidesDB</x:v>
      </x:c>
      <x:c r="F200" s="21" t="str">
        <x:v>salty, umami</x:v>
      </x:c>
      <x:c r="G200" s="21" t="str">
        <x:v>Wheat</x:v>
      </x:c>
      <x:c r="H200" s="22" t="str">
        <x:v>TastePeptidesDB</x:v>
      </x:c>
    </x:row>
    <x:row r="201" ht="21.600000381469727" hidden="0" customHeight="1">
      <x:c r="A201" s="34" t="n">
        <x:v>198</x:v>
      </x:c>
      <x:c r="B201" s="35" t="str">
        <x:v>FDGK</x:v>
      </x:c>
      <x:c r="C201" s="35" t="n">
        <x:f>LEN(B201)</x:f>
        <x:v>4</x:v>
      </x:c>
      <x:c r="D201" s="35" t="n">
        <x:v>1</x:v>
      </x:c>
      <x:c r="E201" s="21" t="str">
        <x:v>Database/compilation annotation; Current_curated; TastePeptidesDB</x:v>
      </x:c>
      <x:c r="F201" s="21" t="str">
        <x:v>salty, umami, sour, astringent</x:v>
      </x:c>
      <x:c r="G201" s="21" t="str">
        <x:v>Yeast; yeast protein hydrolysate; synthetic peptide standard</x:v>
      </x:c>
      <x:c r="H201" s="22" t="str">
        <x:v>Current_curated; TastePeptidesDB; foodchem.2024.139216</x:v>
      </x:c>
    </x:row>
    <x:row r="202" ht="15" hidden="0" customHeight="1">
      <x:c r="A202" s="34" t="n">
        <x:v>199</x:v>
      </x:c>
      <x:c r="B202" s="35" t="str">
        <x:v>FQEY</x:v>
      </x:c>
      <x:c r="C202" s="35" t="n">
        <x:f>LEN(B202)</x:f>
        <x:v>4</x:v>
      </x:c>
      <x:c r="D202" s="35" t="n">
        <x:v>1</x:v>
      </x:c>
      <x:c r="E202" s="21" t="str">
        <x:v>Database/compilation annotation; TastePeptidesDB</x:v>
      </x:c>
      <x:c r="F202" s="21" t="str">
        <x:v>salty, umami, sour, kokumi</x:v>
      </x:c>
      <x:c r="G202" s="21" t="str">
        <x:v>Saccharomyces Cerevisiae; Yeast</x:v>
      </x:c>
      <x:c r="H202" s="22" t="str">
        <x:v>TastePeptidesDB</x:v>
      </x:c>
    </x:row>
    <x:row r="203" ht="15" hidden="0" customHeight="1">
      <x:c r="A203" s="34" t="n">
        <x:v>200</x:v>
      </x:c>
      <x:c r="B203" s="35" t="str">
        <x:v>GHGD</x:v>
      </x:c>
      <x:c r="C203" s="35" t="n">
        <x:f>LEN(B203)</x:f>
        <x:v>4</x:v>
      </x:c>
      <x:c r="D203" s="35" t="n">
        <x:v>1</x:v>
      </x:c>
      <x:c r="E203" s="21" t="str">
        <x:v>Database/compilation annotation; TastePeptidesDB</x:v>
      </x:c>
      <x:c r="F203" s="21" t="str">
        <x:v>salty, umami, kokumi</x:v>
      </x:c>
      <x:c r="G203" s="21" t="str">
        <x:v>Yeast</x:v>
      </x:c>
      <x:c r="H203" s="22" t="str">
        <x:v>TastePeptidesDB</x:v>
      </x:c>
    </x:row>
    <x:row r="204" ht="15" hidden="0" customHeight="1">
      <x:c r="A204" s="34" t="n">
        <x:v>201</x:v>
      </x:c>
      <x:c r="B204" s="35" t="str">
        <x:v>GLPD</x:v>
      </x:c>
      <x:c r="C204" s="35" t="n">
        <x:f>LEN(B204)</x:f>
        <x:v>4</x:v>
      </x:c>
      <x:c r="D204" s="35" t="n">
        <x:v>1</x:v>
      </x:c>
      <x:c r="E204" s="21" t="str">
        <x:v>Database/compilation annotation; TastePeptidesDB</x:v>
      </x:c>
      <x:c r="F204" s="21" t="str">
        <x:v>salty, umami, kokumi</x:v>
      </x:c>
      <x:c r="G204" s="21" t="str">
        <x:v>Yeast</x:v>
      </x:c>
      <x:c r="H204" s="22" t="str">
        <x:v>TastePeptidesDB</x:v>
      </x:c>
    </x:row>
    <x:row r="205" ht="15" hidden="0" customHeight="1">
      <x:c r="A205" s="34" t="n">
        <x:v>202</x:v>
      </x:c>
      <x:c r="B205" s="35" t="str">
        <x:v>HANR</x:v>
      </x:c>
      <x:c r="C205" s="35" t="n">
        <x:f>LEN(B205)</x:f>
        <x:v>4</x:v>
      </x:c>
      <x:c r="D205" s="35" t="n">
        <x:v>1</x:v>
      </x:c>
      <x:c r="E205" s="21" t="str">
        <x:v>Database/compilation annotation; TastePeptidesDB</x:v>
      </x:c>
      <x:c r="F205" s="21" t="str">
        <x:v>salty, umami</x:v>
      </x:c>
      <x:c r="G205" s="21" t="str">
        <x:v>Machine Learning</x:v>
      </x:c>
      <x:c r="H205" s="22" t="str">
        <x:v>TastePeptidesDB</x:v>
      </x:c>
    </x:row>
    <x:row r="206" ht="15" hidden="0" customHeight="1">
      <x:c r="A206" s="34" t="n">
        <x:v>203</x:v>
      </x:c>
      <x:c r="B206" s="35" t="str">
        <x:v>HEAL</x:v>
      </x:c>
      <x:c r="C206" s="35" t="n">
        <x:f>LEN(B206)</x:f>
        <x:v>4</x:v>
      </x:c>
      <x:c r="D206" s="35" t="n">
        <x:v>1</x:v>
      </x:c>
      <x:c r="E206" s="21" t="str">
        <x:v>Database/compilation annotation; TastePeptidesDB</x:v>
      </x:c>
      <x:c r="F206" s="21" t="str">
        <x:v>salty, umami</x:v>
      </x:c>
      <x:c r="G206" s="21" t="str">
        <x:v>Porcine</x:v>
      </x:c>
      <x:c r="H206" s="22" t="str">
        <x:v>TastePeptidesDB</x:v>
      </x:c>
    </x:row>
    <x:row r="207" ht="15" hidden="0" customHeight="1">
      <x:c r="A207" s="34" t="n">
        <x:v>204</x:v>
      </x:c>
      <x:c r="B207" s="35" t="str">
        <x:v>KCGQ</x:v>
      </x:c>
      <x:c r="C207" s="35" t="n">
        <x:f>LEN(B207)</x:f>
        <x:v>4</x:v>
      </x:c>
      <x:c r="D207" s="35" t="n">
        <x:v>1</x:v>
      </x:c>
      <x:c r="E207" s="21" t="str">
        <x:v>Database/compilation annotation; TastePeptidesDB</x:v>
      </x:c>
      <x:c r="F207" s="21" t="str">
        <x:v>salty, umami, sour, astringent</x:v>
      </x:c>
      <x:c r="G207" s="21" t="str">
        <x:v>Mushroom</x:v>
      </x:c>
      <x:c r="H207" s="22" t="str">
        <x:v>TastePeptidesDB</x:v>
      </x:c>
    </x:row>
    <x:row r="208" ht="15" hidden="0" customHeight="1">
      <x:c r="A208" s="34" t="n">
        <x:v>205</x:v>
      </x:c>
      <x:c r="B208" s="35" t="str">
        <x:v>KCSK</x:v>
      </x:c>
      <x:c r="C208" s="35" t="n">
        <x:f>LEN(B208)</x:f>
        <x:v>4</x:v>
      </x:c>
      <x:c r="D208" s="35" t="n">
        <x:v>1</x:v>
      </x:c>
      <x:c r="E208" s="21" t="str">
        <x:v>Database/compilation annotation; TastePeptidesDB</x:v>
      </x:c>
      <x:c r="F208" s="21" t="str">
        <x:v>salty</x:v>
      </x:c>
      <x:c r="G208" s="21" t="str">
        <x:v>Nori</x:v>
      </x:c>
      <x:c r="H208" s="22" t="str">
        <x:v>TastePeptidesDB</x:v>
      </x:c>
    </x:row>
    <x:row r="209" ht="15" hidden="0" customHeight="1">
      <x:c r="A209" s="34" t="n">
        <x:v>206</x:v>
      </x:c>
      <x:c r="B209" s="35" t="str">
        <x:v>KEHT</x:v>
      </x:c>
      <x:c r="C209" s="35" t="n">
        <x:f>LEN(B209)</x:f>
        <x:v>4</x:v>
      </x:c>
      <x:c r="D209" s="35" t="n">
        <x:v>1</x:v>
      </x:c>
      <x:c r="E209" s="21" t="str">
        <x:v>Database/compilation annotation; TastePeptidesDB</x:v>
      </x:c>
      <x:c r="F209" s="21" t="str">
        <x:v>salty</x:v>
      </x:c>
      <x:c r="G209" s="21" t="str">
        <x:v>Nori</x:v>
      </x:c>
      <x:c r="H209" s="22" t="str">
        <x:v>TastePeptidesDB</x:v>
      </x:c>
    </x:row>
    <x:row r="210" ht="15" hidden="0" customHeight="1">
      <x:c r="A210" s="34" t="n">
        <x:v>207</x:v>
      </x:c>
      <x:c r="B210" s="35" t="str">
        <x:v>LPGD</x:v>
      </x:c>
      <x:c r="C210" s="35" t="n">
        <x:f>LEN(B210)</x:f>
        <x:v>4</x:v>
      </x:c>
      <x:c r="D210" s="35" t="n">
        <x:v>1</x:v>
      </x:c>
      <x:c r="E210" s="21" t="str">
        <x:v>Database/compilation annotation; TastePeptidesDB</x:v>
      </x:c>
      <x:c r="F210" s="21" t="str">
        <x:v>salty, umami, sweet</x:v>
      </x:c>
      <x:c r="G210" s="21" t="str">
        <x:v>Machine Learning</x:v>
      </x:c>
      <x:c r="H210" s="22" t="str">
        <x:v>TastePeptidesDB</x:v>
      </x:c>
    </x:row>
    <x:row r="211" ht="15" hidden="0" customHeight="1">
      <x:c r="A211" s="34" t="n">
        <x:v>208</x:v>
      </x:c>
      <x:c r="B211" s="35" t="str">
        <x:v>LSFE</x:v>
      </x:c>
      <x:c r="C211" s="35" t="n">
        <x:f>LEN(B211)</x:f>
        <x:v>4</x:v>
      </x:c>
      <x:c r="D211" s="35" t="n">
        <x:v>1</x:v>
      </x:c>
      <x:c r="E211" s="21" t="str">
        <x:v>Database/compilation annotation; TastePeptidesDB</x:v>
      </x:c>
      <x:c r="F211" s="21" t="str">
        <x:v>salty, umami</x:v>
      </x:c>
      <x:c r="G211" s="21" t="str">
        <x:v>Wheat</x:v>
      </x:c>
      <x:c r="H211" s="22" t="str">
        <x:v>TastePeptidesDB</x:v>
      </x:c>
    </x:row>
    <x:row r="212" ht="21.600000381469727" hidden="0" customHeight="1">
      <x:c r="A212" s="34" t="n">
        <x:v>209</x:v>
      </x:c>
      <x:c r="B212" s="35" t="str">
        <x:v>NMKF</x:v>
      </x:c>
      <x:c r="C212" s="35" t="n">
        <x:f>LEN(B212)</x:f>
        <x:v>4</x:v>
      </x:c>
      <x:c r="D212" s="35" t="n">
        <x:v>1</x:v>
      </x:c>
      <x:c r="E212" s="21" t="str">
        <x:v>Database/compilation annotation; Current_curated; TastePeptidesDB</x:v>
      </x:c>
      <x:c r="F212" s="21" t="str">
        <x:v>salty, umami, sour</x:v>
      </x:c>
      <x:c r="G212" s="21" t="str">
        <x:v>Yeast; yeast protein hydrolysate; synthetic peptide standard</x:v>
      </x:c>
      <x:c r="H212" s="22" t="str">
        <x:v>Current_curated; TastePeptidesDB; foodchem.2024.139216</x:v>
      </x:c>
    </x:row>
    <x:row r="213" ht="15" hidden="0" customHeight="1">
      <x:c r="A213" s="34" t="n">
        <x:v>210</x:v>
      </x:c>
      <x:c r="B213" s="35" t="str">
        <x:v>PEEL</x:v>
      </x:c>
      <x:c r="C213" s="35" t="n">
        <x:f>LEN(B213)</x:f>
        <x:v>4</x:v>
      </x:c>
      <x:c r="D213" s="35" t="n">
        <x:v>1</x:v>
      </x:c>
      <x:c r="E213" s="21" t="str">
        <x:v>Database/compilation annotation; TastePeptidesDB</x:v>
      </x:c>
      <x:c r="F213" s="21" t="str">
        <x:v>salty, umami, sour</x:v>
      </x:c>
      <x:c r="G213" s="21" t="str">
        <x:v>Mushroom</x:v>
      </x:c>
      <x:c r="H213" s="22" t="str">
        <x:v>TastePeptidesDB</x:v>
      </x:c>
    </x:row>
    <x:row r="214" ht="15" hidden="0" customHeight="1">
      <x:c r="A214" s="34" t="n">
        <x:v>211</x:v>
      </x:c>
      <x:c r="B214" s="35" t="str">
        <x:v>PPMF</x:v>
      </x:c>
      <x:c r="C214" s="35" t="n">
        <x:f>LEN(B214)</x:f>
        <x:v>4</x:v>
      </x:c>
      <x:c r="D214" s="35" t="n">
        <x:v>1</x:v>
      </x:c>
      <x:c r="E214" s="21" t="str">
        <x:v>Database/compilation annotation; TastePeptidesDB</x:v>
      </x:c>
      <x:c r="F214" s="21" t="str">
        <x:v>salty, bitter</x:v>
      </x:c>
      <x:c r="G214" s="21" t="str">
        <x:v>Egg</x:v>
      </x:c>
      <x:c r="H214" s="22" t="str">
        <x:v>TastePeptidesDB</x:v>
      </x:c>
    </x:row>
    <x:row r="215" ht="15" hidden="0" customHeight="1">
      <x:c r="A215" s="34" t="n">
        <x:v>212</x:v>
      </x:c>
      <x:c r="B215" s="35" t="str">
        <x:v>TEGR</x:v>
      </x:c>
      <x:c r="C215" s="35" t="n">
        <x:f>LEN(B215)</x:f>
        <x:v>4</x:v>
      </x:c>
      <x:c r="D215" s="35" t="n">
        <x:v>1</x:v>
      </x:c>
      <x:c r="E215" s="21" t="str">
        <x:v>Database/compilation annotation; TastePeptidesDB</x:v>
      </x:c>
      <x:c r="F215" s="21" t="str">
        <x:v>salty</x:v>
      </x:c>
      <x:c r="G215" s="21" t="str">
        <x:v>Nori</x:v>
      </x:c>
      <x:c r="H215" s="22" t="str">
        <x:v>TastePeptidesDB</x:v>
      </x:c>
    </x:row>
    <x:row r="216" ht="15" hidden="0" customHeight="1">
      <x:c r="A216" s="34" t="n">
        <x:v>213</x:v>
      </x:c>
      <x:c r="B216" s="35" t="str">
        <x:v>YTCE</x:v>
      </x:c>
      <x:c r="C216" s="35" t="n">
        <x:f>LEN(B216)</x:f>
        <x:v>4</x:v>
      </x:c>
      <x:c r="D216" s="35" t="n">
        <x:v>1</x:v>
      </x:c>
      <x:c r="E216" s="21" t="str">
        <x:v>Database/compilation annotation; TastePeptidesDB</x:v>
      </x:c>
      <x:c r="F216" s="21" t="str">
        <x:v>salty, umami</x:v>
      </x:c>
      <x:c r="G216" s="21" t="str">
        <x:v>Wheat</x:v>
      </x:c>
      <x:c r="H216" s="22" t="str">
        <x:v>TastePeptidesDB</x:v>
      </x:c>
    </x:row>
    <x:row r="217" ht="15" hidden="0" customHeight="1">
      <x:c r="A217" s="34" t="n">
        <x:v>214</x:v>
      </x:c>
      <x:c r="B217" s="35" t="str">
        <x:v>YTTD</x:v>
      </x:c>
      <x:c r="C217" s="35" t="n">
        <x:f>LEN(B217)</x:f>
        <x:v>4</x:v>
      </x:c>
      <x:c r="D217" s="35" t="n">
        <x:v>1</x:v>
      </x:c>
      <x:c r="E217" s="21" t="str">
        <x:v>Database/compilation annotation; TastePeptidesDB</x:v>
      </x:c>
      <x:c r="F217" s="21" t="str">
        <x:v>salty, umami</x:v>
      </x:c>
      <x:c r="G217" s="21" t="str">
        <x:v>Wheat</x:v>
      </x:c>
      <x:c r="H217" s="22" t="str">
        <x:v>TastePeptidesDB</x:v>
      </x:c>
    </x:row>
    <x:row r="218" ht="15" hidden="0" customHeight="1">
      <x:c r="A218" s="34" t="n">
        <x:v>215</x:v>
      </x:c>
      <x:c r="B218" s="35" t="str">
        <x:v>EGSVR</x:v>
      </x:c>
      <x:c r="C218" s="35" t="n">
        <x:f>LEN(B218)</x:f>
        <x:v>5</x:v>
      </x:c>
      <x:c r="D218" s="35" t="n">
        <x:v>1</x:v>
      </x:c>
      <x:c r="E218" s="21" t="str">
        <x:v>Database/compilation annotation; TastePeptidesDB</x:v>
      </x:c>
      <x:c r="F218" s="21" t="str">
        <x:v>salty</x:v>
      </x:c>
      <x:c r="G218" s="21" t="str">
        <x:v>Nori</x:v>
      </x:c>
      <x:c r="H218" s="22" t="str">
        <x:v>TastePeptidesDB</x:v>
      </x:c>
    </x:row>
    <x:row r="219" ht="15" hidden="0" customHeight="1">
      <x:c r="A219" s="34" t="n">
        <x:v>216</x:v>
      </x:c>
      <x:c r="B219" s="35" t="str">
        <x:v>FGEKL</x:v>
      </x:c>
      <x:c r="C219" s="35" t="n">
        <x:f>LEN(B219)</x:f>
        <x:v>5</x:v>
      </x:c>
      <x:c r="D219" s="35" t="n">
        <x:v>1</x:v>
      </x:c>
      <x:c r="E219" s="21" t="str">
        <x:v>Database/compilation annotation; TastePeptidesDB</x:v>
      </x:c>
      <x:c r="F219" s="21" t="str">
        <x:v>salty, umami, astringent</x:v>
      </x:c>
      <x:c r="G219" s="21" t="str">
        <x:v>Lamb</x:v>
      </x:c>
      <x:c r="H219" s="22" t="str">
        <x:v>TastePeptidesDB</x:v>
      </x:c>
    </x:row>
    <x:row r="220" ht="15" hidden="0" customHeight="1">
      <x:c r="A220" s="34" t="n">
        <x:v>217</x:v>
      </x:c>
      <x:c r="B220" s="35" t="str">
        <x:v>KSAEN</x:v>
      </x:c>
      <x:c r="C220" s="35" t="n">
        <x:f>LEN(B220)</x:f>
        <x:v>5</x:v>
      </x:c>
      <x:c r="D220" s="35" t="n">
        <x:v>1</x:v>
      </x:c>
      <x:c r="E220" s="21" t="str">
        <x:v>Database/compilation annotation; Current_curated</x:v>
      </x:c>
      <x:c r="F220" s="21" t="str">
        <x:v>umami, sweet, astringent</x:v>
      </x:c>
      <x:c r="G220" s="21" t="str">
        <x:v>Clam; yeast extract</x:v>
      </x:c>
      <x:c r="H220" s="22" t="str">
        <x:v>Current_curated; foodchem.2022.132993</x:v>
      </x:c>
    </x:row>
    <x:row r="221" ht="15" hidden="0" customHeight="1">
      <x:c r="A221" s="34" t="n">
        <x:v>218</x:v>
      </x:c>
      <x:c r="B221" s="35" t="str">
        <x:v>LPVDE</x:v>
      </x:c>
      <x:c r="C221" s="35" t="n">
        <x:f>LEN(B221)</x:f>
        <x:v>5</x:v>
      </x:c>
      <x:c r="D221" s="35" t="n">
        <x:v>1</x:v>
      </x:c>
      <x:c r="E221" s="21" t="str">
        <x:v>Database/compilation annotation; TastePeptidesDB</x:v>
      </x:c>
      <x:c r="F221" s="21" t="str">
        <x:v>salty, umami</x:v>
      </x:c>
      <x:c r="G221" s="21" t="str">
        <x:v>Sauce</x:v>
      </x:c>
      <x:c r="H221" s="22" t="str">
        <x:v>TastePeptidesDB</x:v>
      </x:c>
    </x:row>
    <x:row r="222" ht="15" hidden="0" customHeight="1">
      <x:c r="A222" s="34" t="n">
        <x:v>219</x:v>
      </x:c>
      <x:c r="B222" s="35" t="str">
        <x:v>QGGDF</x:v>
      </x:c>
      <x:c r="C222" s="35" t="n">
        <x:f>LEN(B222)</x:f>
        <x:v>5</x:v>
      </x:c>
      <x:c r="D222" s="35" t="n">
        <x:v>1</x:v>
      </x:c>
      <x:c r="E222" s="21" t="str">
        <x:v>Database/compilation annotation; TastePeptidesDB</x:v>
      </x:c>
      <x:c r="F222" s="21" t="str">
        <x:v>salty, umami, sour</x:v>
      </x:c>
      <x:c r="G222" s="21" t="str">
        <x:v>Mushroom</x:v>
      </x:c>
      <x:c r="H222" s="22" t="str">
        <x:v>TastePeptidesDB</x:v>
      </x:c>
    </x:row>
    <x:row r="223" ht="15" hidden="0" customHeight="1">
      <x:c r="A223" s="34" t="n">
        <x:v>220</x:v>
      </x:c>
      <x:c r="B223" s="35" t="str">
        <x:v>SNGNE</x:v>
      </x:c>
      <x:c r="C223" s="35" t="n">
        <x:f>LEN(B223)</x:f>
        <x:v>5</x:v>
      </x:c>
      <x:c r="D223" s="35" t="n">
        <x:v>1</x:v>
      </x:c>
      <x:c r="E223" s="21" t="str">
        <x:v>Database/compilation annotation; TastePeptidesDB</x:v>
      </x:c>
      <x:c r="F223" s="21" t="str">
        <x:v>salty, umami, sweet</x:v>
      </x:c>
      <x:c r="G223" s="21" t="str">
        <x:v>Mushroom</x:v>
      </x:c>
      <x:c r="H223" s="22" t="str">
        <x:v>TastePeptidesDB</x:v>
      </x:c>
    </x:row>
    <x:row r="224" ht="15" hidden="0" customHeight="1">
      <x:c r="A224" s="34" t="n">
        <x:v>221</x:v>
      </x:c>
      <x:c r="B224" s="35" t="str">
        <x:v>VAQWR</x:v>
      </x:c>
      <x:c r="C224" s="35" t="n">
        <x:f>LEN(B224)</x:f>
        <x:v>5</x:v>
      </x:c>
      <x:c r="D224" s="35" t="n">
        <x:v>1</x:v>
      </x:c>
      <x:c r="E224" s="21" t="str">
        <x:v>Database/compilation annotation; TastePeptidesDB</x:v>
      </x:c>
      <x:c r="F224" s="21" t="str">
        <x:v>salty, umami, sweet</x:v>
      </x:c>
      <x:c r="G224" s="21" t="str">
        <x:v>Lactobacillus helveticus Lh191404</x:v>
      </x:c>
      <x:c r="H224" s="22" t="str">
        <x:v>TastePeptidesDB</x:v>
      </x:c>
    </x:row>
    <x:row r="225" ht="15" hidden="0" customHeight="1">
      <x:c r="A225" s="34" t="n">
        <x:v>222</x:v>
      </x:c>
      <x:c r="B225" s="35" t="str">
        <x:v>APYSGY</x:v>
      </x:c>
      <x:c r="C225" s="35" t="n">
        <x:f>LEN(B225)</x:f>
        <x:v>6</x:v>
      </x:c>
      <x:c r="D225" s="35" t="n">
        <x:v>1</x:v>
      </x:c>
      <x:c r="E225" s="21" t="str">
        <x:v>Database/compilation annotation; TastePeptidesDB</x:v>
      </x:c>
      <x:c r="F225" s="21" t="str">
        <x:v>salty, umami</x:v>
      </x:c>
      <x:c r="G225" s="21" t="str">
        <x:v>Egg; Porcine</x:v>
      </x:c>
      <x:c r="H225" s="22" t="str">
        <x:v>TastePeptidesDB</x:v>
      </x:c>
    </x:row>
    <x:row r="226" ht="15" hidden="0" customHeight="1">
      <x:c r="A226" s="34" t="n">
        <x:v>223</x:v>
      </x:c>
      <x:c r="B226" s="35" t="str">
        <x:v>EPVTLT</x:v>
      </x:c>
      <x:c r="C226" s="35" t="n">
        <x:f>LEN(B226)</x:f>
        <x:v>6</x:v>
      </x:c>
      <x:c r="D226" s="35" t="n">
        <x:v>1</x:v>
      </x:c>
      <x:c r="E226" s="21" t="str">
        <x:v>Database/compilation annotation; TastePeptidesDB</x:v>
      </x:c>
      <x:c r="F226" s="21" t="str">
        <x:v>salty, umami, sour</x:v>
      </x:c>
      <x:c r="G226" s="21" t="str">
        <x:v>Mushroom</x:v>
      </x:c>
      <x:c r="H226" s="22" t="str">
        <x:v>TastePeptidesDB</x:v>
      </x:c>
    </x:row>
    <x:row r="227" ht="15" hidden="0" customHeight="1">
      <x:c r="A227" s="34" t="n">
        <x:v>224</x:v>
      </x:c>
      <x:c r="B227" s="35" t="str">
        <x:v>FQKVVA</x:v>
      </x:c>
      <x:c r="C227" s="35" t="n">
        <x:f>LEN(B227)</x:f>
        <x:v>6</x:v>
      </x:c>
      <x:c r="D227" s="35" t="n">
        <x:v>1</x:v>
      </x:c>
      <x:c r="E227" s="21" t="str">
        <x:v>Database/compilation annotation; TastePeptidesDB</x:v>
      </x:c>
      <x:c r="F227" s="21" t="str">
        <x:v>salty, umami, sweet</x:v>
      </x:c>
      <x:c r="G227" s="21" t="str">
        <x:v>Porcine</x:v>
      </x:c>
      <x:c r="H227" s="22" t="str">
        <x:v>TastePeptidesDB</x:v>
      </x:c>
    </x:row>
    <x:row r="228" ht="15" hidden="0" customHeight="1">
      <x:c r="A228" s="34" t="n">
        <x:v>225</x:v>
      </x:c>
      <x:c r="B228" s="35" t="str">
        <x:v>LKYPLE</x:v>
      </x:c>
      <x:c r="C228" s="35" t="n">
        <x:f>LEN(B228)</x:f>
        <x:v>6</x:v>
      </x:c>
      <x:c r="D228" s="35" t="n">
        <x:v>1</x:v>
      </x:c>
      <x:c r="E228" s="21" t="str">
        <x:v>Database/compilation annotation; TastePeptidesDB</x:v>
      </x:c>
      <x:c r="F228" s="21" t="str">
        <x:v>salty, umami, sour, sweet</x:v>
      </x:c>
      <x:c r="G228" s="21" t="str">
        <x:v>Sturgeon</x:v>
      </x:c>
      <x:c r="H228" s="22" t="str">
        <x:v>TastePeptidesDB</x:v>
      </x:c>
    </x:row>
    <x:row r="229" ht="15" hidden="0" customHeight="1">
      <x:c r="A229" s="34" t="n">
        <x:v>226</x:v>
      </x:c>
      <x:c r="B229" s="35" t="str">
        <x:v>TPDLLH</x:v>
      </x:c>
      <x:c r="C229" s="35" t="n">
        <x:f>LEN(B229)</x:f>
        <x:v>6</x:v>
      </x:c>
      <x:c r="D229" s="35" t="n">
        <x:v>1</x:v>
      </x:c>
      <x:c r="E229" s="21" t="str">
        <x:v>Database/compilation annotation; TastePeptidesDB</x:v>
      </x:c>
      <x:c r="F229" s="21" t="str">
        <x:v>salty, sour</x:v>
      </x:c>
      <x:c r="G229" s="21" t="str">
        <x:v>Chicken</x:v>
      </x:c>
      <x:c r="H229" s="22" t="str">
        <x:v>TastePeptidesDB</x:v>
      </x:c>
    </x:row>
    <x:row r="230" ht="15" hidden="0" customHeight="1">
      <x:c r="A230" s="34" t="n">
        <x:v>227</x:v>
      </x:c>
      <x:c r="B230" s="35" t="str">
        <x:v>YDAELS</x:v>
      </x:c>
      <x:c r="C230" s="35" t="n">
        <x:f>LEN(B230)</x:f>
        <x:v>6</x:v>
      </x:c>
      <x:c r="D230" s="35" t="n">
        <x:v>1</x:v>
      </x:c>
      <x:c r="E230" s="21" t="str">
        <x:v>Database/compilation annotation; TastePeptidesDB</x:v>
      </x:c>
      <x:c r="F230" s="21" t="str">
        <x:v>salty, umami</x:v>
      </x:c>
      <x:c r="G230" s="21" t="str">
        <x:v>Bovine</x:v>
      </x:c>
      <x:c r="H230" s="22" t="str">
        <x:v>TastePeptidesDB</x:v>
      </x:c>
    </x:row>
    <x:row r="231" ht="15" hidden="0" customHeight="1">
      <x:c r="A231" s="34" t="n">
        <x:v>228</x:v>
      </x:c>
      <x:c r="B231" s="35" t="str">
        <x:v>ALDPLPT</x:v>
      </x:c>
      <x:c r="C231" s="35" t="n">
        <x:f>LEN(B231)</x:f>
        <x:v>7</x:v>
      </x:c>
      <x:c r="D231" s="35" t="n">
        <x:v>1</x:v>
      </x:c>
      <x:c r="E231" s="21" t="str">
        <x:v>Database/compilation annotation; Current_curated</x:v>
      </x:c>
      <x:c r="F231" s="21" t="str">
        <x:v>salty; salt-enhancing activity also reported</x:v>
      </x:c>
      <x:c r="G231" s="21" t="str">
        <x:v>fermented soy sauce</x:v>
      </x:c>
      <x:c r="H231" s="22" t="str">
        <x:v>Current_curated; jafc.2022.2c01688</x:v>
      </x:c>
    </x:row>
    <x:row r="232" ht="15" hidden="0" customHeight="1">
      <x:c r="A232" s="34" t="n">
        <x:v>229</x:v>
      </x:c>
      <x:c r="B232" s="35" t="str">
        <x:v>DEEYPDL</x:v>
      </x:c>
      <x:c r="C232" s="35" t="n">
        <x:f>LEN(B232)</x:f>
        <x:v>7</x:v>
      </x:c>
      <x:c r="D232" s="35" t="n">
        <x:v>1</x:v>
      </x:c>
      <x:c r="E232" s="21" t="str">
        <x:v>Database/compilation annotation; TastePeptidesDB</x:v>
      </x:c>
      <x:c r="F232" s="21" t="str">
        <x:v>salty, umami, sour, bitter</x:v>
      </x:c>
      <x:c r="G232" s="21" t="str">
        <x:v>Sea Bass; Striped Bass</x:v>
      </x:c>
      <x:c r="H232" s="22" t="str">
        <x:v>TastePeptidesDB</x:v>
      </x:c>
    </x:row>
    <x:row r="233" ht="15" hidden="0" customHeight="1">
      <x:c r="A233" s="34" t="n">
        <x:v>230</x:v>
      </x:c>
      <x:c r="B233" s="35" t="str">
        <x:v>EWVPVTK</x:v>
      </x:c>
      <x:c r="C233" s="35" t="n">
        <x:f>LEN(B233)</x:f>
        <x:v>7</x:v>
      </x:c>
      <x:c r="D233" s="35" t="n">
        <x:v>1</x:v>
      </x:c>
      <x:c r="E233" s="21" t="str">
        <x:v>Database/compilation annotation; TastePeptidesDB</x:v>
      </x:c>
      <x:c r="F233" s="21" t="str">
        <x:v>salty, umami, sour, sweet, kokumi</x:v>
      </x:c>
      <x:c r="G233" s="21" t="str">
        <x:v>Mushroom</x:v>
      </x:c>
      <x:c r="H233" s="22" t="str">
        <x:v>TastePeptidesDB</x:v>
      </x:c>
    </x:row>
    <x:row r="234" ht="15" hidden="0" customHeight="1">
      <x:c r="A234" s="34" t="n">
        <x:v>231</x:v>
      </x:c>
      <x:c r="B234" s="35" t="str">
        <x:v>FDELLEK</x:v>
      </x:c>
      <x:c r="C234" s="35" t="n">
        <x:f>LEN(B234)</x:f>
        <x:v>7</x:v>
      </x:c>
      <x:c r="D234" s="35" t="n">
        <x:v>1</x:v>
      </x:c>
      <x:c r="E234" s="21" t="str">
        <x:v>Database/compilation annotation; TastePeptidesDB</x:v>
      </x:c>
      <x:c r="F234" s="21" t="str">
        <x:v>salty, umami, bitter</x:v>
      </x:c>
      <x:c r="G234" s="21" t="str">
        <x:v>Yeast</x:v>
      </x:c>
      <x:c r="H234" s="22" t="str">
        <x:v>TastePeptidesDB</x:v>
      </x:c>
    </x:row>
    <x:row r="235" ht="15" hidden="0" customHeight="1">
      <x:c r="A235" s="34" t="n">
        <x:v>232</x:v>
      </x:c>
      <x:c r="B235" s="35" t="str">
        <x:v>FVGLQER</x:v>
      </x:c>
      <x:c r="C235" s="35" t="n">
        <x:f>LEN(B235)</x:f>
        <x:v>7</x:v>
      </x:c>
      <x:c r="D235" s="35" t="n">
        <x:v>1</x:v>
      </x:c>
      <x:c r="E235" s="21" t="str">
        <x:v>Database/compilation annotation; TastePeptidesDB</x:v>
      </x:c>
      <x:c r="F235" s="21" t="str">
        <x:v>salty, umami</x:v>
      </x:c>
      <x:c r="G235" s="21" t="str">
        <x:v>Tilapia Lower</x:v>
      </x:c>
      <x:c r="H235" s="22" t="str">
        <x:v>TastePeptidesDB</x:v>
      </x:c>
    </x:row>
    <x:row r="236" ht="15" hidden="0" customHeight="1">
      <x:c r="A236" s="34" t="n">
        <x:v>233</x:v>
      </x:c>
      <x:c r="B236" s="35" t="str">
        <x:v>LQPLNAH</x:v>
      </x:c>
      <x:c r="C236" s="35" t="n">
        <x:f>LEN(B236)</x:f>
        <x:v>7</x:v>
      </x:c>
      <x:c r="D236" s="35" t="n">
        <x:v>1</x:v>
      </x:c>
      <x:c r="E236" s="21" t="str">
        <x:v>Database/compilation annotation; TastePeptidesDB</x:v>
      </x:c>
      <x:c r="F236" s="21" t="str">
        <x:v>salty, umami, sour, astringent</x:v>
      </x:c>
      <x:c r="G236" s="21" t="str">
        <x:v>Mushroom</x:v>
      </x:c>
      <x:c r="H236" s="22" t="str">
        <x:v>TastePeptidesDB</x:v>
      </x:c>
    </x:row>
    <x:row r="237" ht="15" hidden="0" customHeight="1">
      <x:c r="A237" s="34" t="n">
        <x:v>234</x:v>
      </x:c>
      <x:c r="B237" s="35" t="str">
        <x:v>TFYNELR</x:v>
      </x:c>
      <x:c r="C237" s="35" t="n">
        <x:f>LEN(B237)</x:f>
        <x:v>7</x:v>
      </x:c>
      <x:c r="D237" s="35" t="n">
        <x:v>1</x:v>
      </x:c>
      <x:c r="E237" s="21" t="str">
        <x:v>Database/compilation annotation; TastePeptidesDB</x:v>
      </x:c>
      <x:c r="F237" s="21" t="str">
        <x:v>salty, umami</x:v>
      </x:c>
      <x:c r="G237" s="21" t="str">
        <x:v>Spanish Mackerel</x:v>
      </x:c>
      <x:c r="H237" s="22" t="str">
        <x:v>TastePeptidesDB</x:v>
      </x:c>
    </x:row>
    <x:row r="238" ht="15" hidden="0" customHeight="1">
      <x:c r="A238" s="34" t="n">
        <x:v>235</x:v>
      </x:c>
      <x:c r="B238" s="35" t="str">
        <x:v>TGWVDVK</x:v>
      </x:c>
      <x:c r="C238" s="35" t="n">
        <x:f>LEN(B238)</x:f>
        <x:v>7</x:v>
      </x:c>
      <x:c r="D238" s="35" t="n">
        <x:v>1</x:v>
      </x:c>
      <x:c r="E238" s="21" t="str">
        <x:v>Database/compilation annotation; TastePeptidesDB</x:v>
      </x:c>
      <x:c r="F238" s="21" t="str">
        <x:v>salty, umami, sour</x:v>
      </x:c>
      <x:c r="G238" s="21" t="str">
        <x:v>Yeast</x:v>
      </x:c>
      <x:c r="H238" s="22" t="str">
        <x:v>TastePeptidesDB</x:v>
      </x:c>
    </x:row>
    <x:row r="239" ht="15" hidden="0" customHeight="1">
      <x:c r="A239" s="34" t="n">
        <x:v>236</x:v>
      </x:c>
      <x:c r="B239" s="35" t="str">
        <x:v>TLTDVEK</x:v>
      </x:c>
      <x:c r="C239" s="35" t="n">
        <x:f>LEN(B239)</x:f>
        <x:v>7</x:v>
      </x:c>
      <x:c r="D239" s="35" t="n">
        <x:v>1</x:v>
      </x:c>
      <x:c r="E239" s="21" t="str">
        <x:v>Database/compilation annotation; TastePeptidesDB</x:v>
      </x:c>
      <x:c r="F239" s="21" t="str">
        <x:v>salty, umami</x:v>
      </x:c>
      <x:c r="G239" s="21" t="str">
        <x:v>Sauce</x:v>
      </x:c>
      <x:c r="H239" s="22" t="str">
        <x:v>TastePeptidesDB</x:v>
      </x:c>
    </x:row>
    <x:row r="240" ht="15" hidden="0" customHeight="1">
      <x:c r="A240" s="34" t="n">
        <x:v>237</x:v>
      </x:c>
      <x:c r="B240" s="35" t="str">
        <x:v>VLPVPQK</x:v>
      </x:c>
      <x:c r="C240" s="35" t="n">
        <x:f>LEN(B240)</x:f>
        <x:v>7</x:v>
      </x:c>
      <x:c r="D240" s="35" t="n">
        <x:v>1</x:v>
      </x:c>
      <x:c r="E240" s="21" t="str">
        <x:v>Database/compilation annotation; TastePeptidesDB</x:v>
      </x:c>
      <x:c r="F240" s="21" t="str">
        <x:v>salty, umami, sour, bitter</x:v>
      </x:c>
      <x:c r="G240" s="21" t="str">
        <x:v>Mushroom</x:v>
      </x:c>
      <x:c r="H240" s="22" t="str">
        <x:v>TastePeptidesDB</x:v>
      </x:c>
    </x:row>
    <x:row r="241" ht="15" hidden="0" customHeight="1">
      <x:c r="A241" s="34" t="n">
        <x:v>238</x:v>
      </x:c>
      <x:c r="B241" s="35" t="str">
        <x:v>DEELNKLL</x:v>
      </x:c>
      <x:c r="C241" s="35" t="n">
        <x:f>LEN(B241)</x:f>
        <x:v>8</x:v>
      </x:c>
      <x:c r="D241" s="35" t="n">
        <x:v>1</x:v>
      </x:c>
      <x:c r="E241" s="21" t="str">
        <x:v>Database/compilation annotation; TastePeptidesDB</x:v>
      </x:c>
      <x:c r="F241" s="21" t="str">
        <x:v>salty, umami, sour, bitter</x:v>
      </x:c>
      <x:c r="G241" s="21" t="str">
        <x:v>Clam</x:v>
      </x:c>
      <x:c r="H241" s="22" t="str">
        <x:v>TastePeptidesDB</x:v>
      </x:c>
    </x:row>
    <x:row r="242" ht="15" hidden="0" customHeight="1">
      <x:c r="A242" s="34" t="n">
        <x:v>239</x:v>
      </x:c>
      <x:c r="B242" s="35" t="str">
        <x:v>LPKERLYV</x:v>
      </x:c>
      <x:c r="C242" s="35" t="n">
        <x:f>LEN(B242)</x:f>
        <x:v>8</x:v>
      </x:c>
      <x:c r="D242" s="35" t="n">
        <x:v>1</x:v>
      </x:c>
      <x:c r="E242" s="21" t="str">
        <x:v>Database/compilation annotation; TastePeptidesDB</x:v>
      </x:c>
      <x:c r="F242" s="21" t="str">
        <x:v>salty, umami, sweet</x:v>
      </x:c>
      <x:c r="G242" s="21" t="str">
        <x:v>Butyriboletus roseoflavus; Mushroom</x:v>
      </x:c>
      <x:c r="H242" s="22" t="str">
        <x:v>TastePeptidesDB</x:v>
      </x:c>
    </x:row>
    <x:row r="243" ht="15" hidden="0" customHeight="1">
      <x:c r="A243" s="34" t="n">
        <x:v>240</x:v>
      </x:c>
      <x:c r="B243" s="35" t="str">
        <x:v>PQFAPEED</x:v>
      </x:c>
      <x:c r="C243" s="35" t="n">
        <x:f>LEN(B243)</x:f>
        <x:v>8</x:v>
      </x:c>
      <x:c r="D243" s="35" t="n">
        <x:v>1</x:v>
      </x:c>
      <x:c r="E243" s="21" t="str">
        <x:v>Database/compilation annotation; TastePeptidesDB</x:v>
      </x:c>
      <x:c r="F243" s="21" t="str">
        <x:v>salty, umami</x:v>
      </x:c>
      <x:c r="G243" s="21" t="str">
        <x:v>Oyster</x:v>
      </x:c>
      <x:c r="H243" s="22" t="str">
        <x:v>TastePeptidesDB</x:v>
      </x:c>
    </x:row>
    <x:row r="244" ht="15" hidden="0" customHeight="1">
      <x:c r="A244" s="34" t="n">
        <x:v>241</x:v>
      </x:c>
      <x:c r="B244" s="35" t="str">
        <x:v>QQLPQFEE</x:v>
      </x:c>
      <x:c r="C244" s="35" t="n">
        <x:f>LEN(B244)</x:f>
        <x:v>8</x:v>
      </x:c>
      <x:c r="D244" s="35" t="n">
        <x:v>1</x:v>
      </x:c>
      <x:c r="E244" s="21" t="str">
        <x:v>Database/compilation annotation; TastePeptidesDB</x:v>
      </x:c>
      <x:c r="F244" s="21" t="str">
        <x:v>salty, umami</x:v>
      </x:c>
      <x:c r="G244" s="21" t="str">
        <x:v>Wheat</x:v>
      </x:c>
      <x:c r="H244" s="22" t="str">
        <x:v>TastePeptidesDB</x:v>
      </x:c>
    </x:row>
    <x:row r="245" ht="15" hidden="0" customHeight="1">
      <x:c r="A245" s="34" t="n">
        <x:v>242</x:v>
      </x:c>
      <x:c r="B245" s="35" t="str">
        <x:v>RDETLDDW</x:v>
      </x:c>
      <x:c r="C245" s="35" t="n">
        <x:f>LEN(B245)</x:f>
        <x:v>8</x:v>
      </x:c>
      <x:c r="D245" s="35" t="n">
        <x:v>1</x:v>
      </x:c>
      <x:c r="E245" s="21" t="str">
        <x:v>Database/compilation annotation; TastePeptidesDB</x:v>
      </x:c>
      <x:c r="F245" s="21" t="str">
        <x:v>salty, umami, sour</x:v>
      </x:c>
      <x:c r="G245" s="21" t="str">
        <x:v>Yeast</x:v>
      </x:c>
      <x:c r="H245" s="22" t="str">
        <x:v>TastePeptidesDB</x:v>
      </x:c>
    </x:row>
    <x:row r="246" ht="15" hidden="0" customHeight="1">
      <x:c r="A246" s="34" t="n">
        <x:v>243</x:v>
      </x:c>
      <x:c r="B246" s="35" t="str">
        <x:v>VENQQLAL</x:v>
      </x:c>
      <x:c r="C246" s="35" t="n">
        <x:f>LEN(B246)</x:f>
        <x:v>8</x:v>
      </x:c>
      <x:c r="D246" s="35" t="n">
        <x:v>1</x:v>
      </x:c>
      <x:c r="E246" s="21" t="str">
        <x:v>Database/compilation annotation; TastePeptidesDB</x:v>
      </x:c>
      <x:c r="F246" s="21" t="str">
        <x:v>salty, umami, sour, sweet</x:v>
      </x:c>
      <x:c r="G246" s="21" t="str">
        <x:v>Butyriboletus roseoflavus; Mushroom</x:v>
      </x:c>
      <x:c r="H246" s="22" t="str">
        <x:v>TastePeptidesDB</x:v>
      </x:c>
    </x:row>
    <x:row r="247" ht="15" hidden="0" customHeight="1">
      <x:c r="A247" s="34" t="n">
        <x:v>244</x:v>
      </x:c>
      <x:c r="B247" s="35" t="str">
        <x:v>DWTDDVEAR</x:v>
      </x:c>
      <x:c r="C247" s="35" t="n">
        <x:f>LEN(B247)</x:f>
        <x:v>9</x:v>
      </x:c>
      <x:c r="D247" s="35" t="n">
        <x:v>1</x:v>
      </x:c>
      <x:c r="E247" s="21" t="str">
        <x:v>Database/compilation annotation; TastePeptidesDB</x:v>
      </x:c>
      <x:c r="F247" s="21" t="str">
        <x:v>salty, umami, sour</x:v>
      </x:c>
      <x:c r="G247" s="21" t="str">
        <x:v>Yeast</x:v>
      </x:c>
      <x:c r="H247" s="22" t="str">
        <x:v>TastePeptidesDB</x:v>
      </x:c>
    </x:row>
    <x:row r="248" ht="15" hidden="0" customHeight="1">
      <x:c r="A248" s="34" t="n">
        <x:v>245</x:v>
      </x:c>
      <x:c r="B248" s="35" t="str">
        <x:v>EVNYDFGGK</x:v>
      </x:c>
      <x:c r="C248" s="35" t="n">
        <x:f>LEN(B248)</x:f>
        <x:v>9</x:v>
      </x:c>
      <x:c r="D248" s="35" t="n">
        <x:v>1</x:v>
      </x:c>
      <x:c r="E248" s="21" t="str">
        <x:v>Database/compilation annotation; TastePeptidesDB</x:v>
      </x:c>
      <x:c r="F248" s="21" t="str">
        <x:v>salty, umami, sour, bitter</x:v>
      </x:c>
      <x:c r="G248" s="21" t="str">
        <x:v>Mushroom</x:v>
      </x:c>
      <x:c r="H248" s="22" t="str">
        <x:v>TastePeptidesDB</x:v>
      </x:c>
    </x:row>
    <x:row r="249" ht="15" hidden="0" customHeight="1">
      <x:c r="A249" s="34" t="n">
        <x:v>246</x:v>
      </x:c>
      <x:c r="B249" s="35" t="str">
        <x:v>LIDVDGKPQ</x:v>
      </x:c>
      <x:c r="C249" s="35" t="n">
        <x:f>LEN(B249)</x:f>
        <x:v>9</x:v>
      </x:c>
      <x:c r="D249" s="35" t="n">
        <x:v>1</x:v>
      </x:c>
      <x:c r="E249" s="21" t="str">
        <x:v>Database/compilation annotation; TastePeptidesDB</x:v>
      </x:c>
      <x:c r="F249" s="21" t="str">
        <x:v>salty, umami, bitter</x:v>
      </x:c>
      <x:c r="G249" s="21" t="str">
        <x:v>Yeast</x:v>
      </x:c>
      <x:c r="H249" s="22" t="str">
        <x:v>TastePeptidesDB</x:v>
      </x:c>
    </x:row>
    <x:row r="250" ht="15" hidden="0" customHeight="1">
      <x:c r="A250" s="34" t="n">
        <x:v>247</x:v>
      </x:c>
      <x:c r="B250" s="35" t="str">
        <x:v>DTEEVEHGEE</x:v>
      </x:c>
      <x:c r="C250" s="35" t="n">
        <x:f>LEN(B250)</x:f>
        <x:v>10</x:v>
      </x:c>
      <x:c r="D250" s="35" t="n">
        <x:v>1</x:v>
      </x:c>
      <x:c r="E250" s="21" t="str">
        <x:v>Database/compilation annotation; TastePeptidesDB</x:v>
      </x:c>
      <x:c r="F250" s="21" t="str">
        <x:v>salty, umami, sour</x:v>
      </x:c>
      <x:c r="G250" s="21" t="str">
        <x:v>Chicken</x:v>
      </x:c>
      <x:c r="H250" s="22" t="str">
        <x:v>TastePeptidesDB</x:v>
      </x:c>
    </x:row>
    <x:row r="251" ht="15" hidden="0" customHeight="1">
      <x:c r="A251" s="34" t="n">
        <x:v>248</x:v>
      </x:c>
      <x:c r="B251" s="35" t="str">
        <x:v>IDVDGKPQIQ</x:v>
      </x:c>
      <x:c r="C251" s="35" t="n">
        <x:f>LEN(B251)</x:f>
        <x:v>10</x:v>
      </x:c>
      <x:c r="D251" s="35" t="n">
        <x:v>1</x:v>
      </x:c>
      <x:c r="E251" s="21" t="str">
        <x:v>Database/compilation annotation; TastePeptidesDB</x:v>
      </x:c>
      <x:c r="F251" s="21" t="str">
        <x:v>salty, umami, sour</x:v>
      </x:c>
      <x:c r="G251" s="21" t="str">
        <x:v>Yeast</x:v>
      </x:c>
      <x:c r="H251" s="22" t="str">
        <x:v>TastePeptidesDB</x:v>
      </x:c>
    </x:row>
    <x:row r="252" ht="15" hidden="0" customHeight="1">
      <x:c r="A252" s="34" t="n">
        <x:v>249</x:v>
      </x:c>
      <x:c r="B252" s="35" t="str">
        <x:v>VPVDILDHDNN</x:v>
      </x:c>
      <x:c r="C252" s="35" t="n">
        <x:f>LEN(B252)</x:f>
        <x:v>11</x:v>
      </x:c>
      <x:c r="D252" s="35" t="n">
        <x:v>1</x:v>
      </x:c>
      <x:c r="E252" s="21" t="str">
        <x:v>Database/compilation annotation; TastePeptidesDB</x:v>
      </x:c>
      <x:c r="F252" s="21" t="str">
        <x:v>salty, umami, bitter</x:v>
      </x:c>
      <x:c r="G252" s="21" t="str">
        <x:v>Yeast</x:v>
      </x:c>
      <x:c r="H252" s="22" t="str">
        <x:v>TastePeptidesDB</x:v>
      </x:c>
    </x:row>
    <x:row r="253" ht="15" hidden="0" customHeight="1">
      <x:c r="A253" s="34" t="n">
        <x:v>250</x:v>
      </x:c>
      <x:c r="B253" s="35" t="str">
        <x:v>VQPEDNKGVFQ</x:v>
      </x:c>
      <x:c r="C253" s="35" t="n">
        <x:f>LEN(B253)</x:f>
        <x:v>11</x:v>
      </x:c>
      <x:c r="D253" s="35" t="n">
        <x:v>1</x:v>
      </x:c>
      <x:c r="E253" s="21" t="str">
        <x:v>Database/compilation annotation; TastePeptidesDB</x:v>
      </x:c>
      <x:c r="F253" s="21" t="str">
        <x:v>salty, umami, astringent</x:v>
      </x:c>
      <x:c r="G253" s="21" t="str">
        <x:v>Yeast</x:v>
      </x:c>
      <x:c r="H253" s="22" t="str">
        <x:v>TastePeptidesDB</x:v>
      </x:c>
    </x:row>
    <x:row r="254" ht="15" hidden="0" customHeight="1">
      <x:c r="A254" s="34" t="n">
        <x:v>251</x:v>
      </x:c>
      <x:c r="B254" s="35" t="str">
        <x:v>EVAEALDAPKTT</x:v>
      </x:c>
      <x:c r="C254" s="35" t="n">
        <x:f>LEN(B254)</x:f>
        <x:v>12</x:v>
      </x:c>
      <x:c r="D254" s="35" t="n">
        <x:v>1</x:v>
      </x:c>
      <x:c r="E254" s="21" t="str">
        <x:v>Database/compilation annotation; TastePeptidesDB</x:v>
      </x:c>
      <x:c r="F254" s="21" t="str">
        <x:v>salty, umami, sour, bitter</x:v>
      </x:c>
      <x:c r="G254" s="21" t="str">
        <x:v>Mushroom</x:v>
      </x:c>
      <x:c r="H254" s="22" t="str">
        <x:v>TastePeptidesDB</x:v>
      </x:c>
    </x:row>
    <x:row r="255" ht="32.400001525878906" hidden="0" customHeight="1">
      <x:c r="A255" s="34" t="n">
        <x:v>252</x:v>
      </x:c>
      <x:c r="B255" s="35" t="str">
        <x:v>EAF</x:v>
      </x:c>
      <x:c r="C255" s="35" t="n">
        <x:f>LEN(B255)</x:f>
        <x:v>3</x:v>
      </x:c>
      <x:c r="D255" s="35" t="n">
        <x:v>1</x:v>
      </x:c>
      <x:c r="E255" s="21" t="str">
        <x:v>Direct sensory evidence; synthetic peptide; trained 10-member sensory panel; five-taste evaluation; electronic tongue</x:v>
      </x:c>
      <x:c r="F255" s="21" t="str">
        <x:v>umami, sweet, slight salty, astringent; synthetic peptide at 1 mg/mL; umami threshold 0.547 mmol/L</x:v>
      </x:c>
      <x:c r="G255" s="21" t="str">
        <x:v>Stropharia rugosoannulata fruiting-body protein hydrolysate</x:v>
      </x:c>
      <x:c r="H255" s="22" t="str">
        <x:v>10.1016/j.foodchem.2023.137057</x:v>
      </x:c>
    </x:row>
    <x:row r="256" ht="21.600000381469727" hidden="0" customHeight="1">
      <x:c r="A256" s="34" t="n">
        <x:v>253</x:v>
      </x:c>
      <x:c r="B256" s="35" t="str">
        <x:v>EEAKFN</x:v>
      </x:c>
      <x:c r="C256" s="35" t="n">
        <x:f>LEN(B256)</x:f>
        <x:v>6</x:v>
      </x:c>
      <x:c r="D256" s="35" t="n">
        <x:v>1</x:v>
      </x:c>
      <x:c r="E256" s="21" t="str">
        <x:v>Direct sensory evidence; synthetic peptide; trained 12-member sensory panel; five-taste evaluation</x:v>
      </x:c>
      <x:c r="F256" s="21" t="str">
        <x:v>slight umami, bitterness, saltiness, slight sweetness; synthetic peptide at 1 mg/mL; umami threshold 0.68 +/- 0.10 mmol/L</x:v>
      </x:c>
      <x:c r="G256" s="21" t="str">
        <x:v>Stropharia rugosoannulata enzymatic hydrolysate</x:v>
      </x:c>
      <x:c r="H256" s="22" t="str">
        <x:v>10.1016/j.foodchem.2024.142385</x:v>
      </x:c>
    </x:row>
    <x:row r="257" ht="21.600000381469727" hidden="0" customHeight="1">
      <x:c r="A257" s="34" t="n">
        <x:v>254</x:v>
      </x:c>
      <x:c r="B257" s="35" t="str">
        <x:v>KAELDLH</x:v>
      </x:c>
      <x:c r="C257" s="35" t="n">
        <x:f>LEN(B257)</x:f>
        <x:v>7</x:v>
      </x:c>
      <x:c r="D257" s="35" t="n">
        <x:v>1</x:v>
      </x:c>
      <x:c r="E257" s="21" t="str">
        <x:v>Direct sensory evidence; synthetic peptide; trained 12-member sensory panel; five-taste evaluation</x:v>
      </x:c>
      <x:c r="F257" s="21" t="str">
        <x:v>umami, slight bitterness, saltiness; synthetic peptide at 1 mg/mL; umami threshold 0.15 +/- 0.06 mmol/L</x:v>
      </x:c>
      <x:c r="G257" s="21" t="str">
        <x:v>Stropharia rugosoannulata enzymatic hydrolysate</x:v>
      </x:c>
      <x:c r="H257" s="22" t="str">
        <x:v>10.1016/j.foodchem.2024.142385</x:v>
      </x:c>
    </x:row>
    <x:row r="258" ht="21.600000381469727" hidden="0" customHeight="1">
      <x:c r="A258" s="34" t="n">
        <x:v>255</x:v>
      </x:c>
      <x:c r="B258" s="35" t="str">
        <x:v>LADVEEDK</x:v>
      </x:c>
      <x:c r="C258" s="35" t="n">
        <x:f>LEN(B258)</x:f>
        <x:v>8</x:v>
      </x:c>
      <x:c r="D258" s="35" t="n">
        <x:v>1</x:v>
      </x:c>
      <x:c r="E258" s="21" t="str">
        <x:v>Direct sensory evidence; synthetic peptide; trained 12-member sensory panel; five-taste evaluation</x:v>
      </x:c>
      <x:c r="F258" s="21" t="str">
        <x:v>slight umami, bitterness, slight saltiness; synthetic peptide at 1 mg/mL; umami threshold 1.09 +/- 0.09 mmol/L</x:v>
      </x:c>
      <x:c r="G258" s="21" t="str">
        <x:v>Stropharia rugosoannulata enzymatic hydrolysate</x:v>
      </x:c>
      <x:c r="H258" s="22" t="str">
        <x:v>10.1016/j.foodchem.2024.142385</x:v>
      </x:c>
    </x:row>
    <x:row r="259" ht="21.600000381469727" hidden="0" customHeight="1">
      <x:c r="A259" s="34" t="n">
        <x:v>256</x:v>
      </x:c>
      <x:c r="B259" s="35" t="str">
        <x:v>LKEAHDVA</x:v>
      </x:c>
      <x:c r="C259" s="35" t="n">
        <x:f>LEN(B259)</x:f>
        <x:v>8</x:v>
      </x:c>
      <x:c r="D259" s="35" t="n">
        <x:v>1</x:v>
      </x:c>
      <x:c r="E259" s="21" t="str">
        <x:v>Direct sensory evidence; synthetic peptide; trained 12-member sensory panel; five-taste evaluation</x:v>
      </x:c>
      <x:c r="F259" s="21" t="str">
        <x:v>umami, bitterness, saltiness; synthetic peptide at 1 mg/mL; umami threshold 0.28 +/- 0.12 mmol/L</x:v>
      </x:c>
      <x:c r="G259" s="21" t="str">
        <x:v>Stropharia rugosoannulata enzymatic hydrolysate</x:v>
      </x:c>
      <x:c r="H259" s="22" t="str">
        <x:v>10.1016/j.foodchem.2024.142385</x:v>
      </x:c>
    </x:row>
    <x:row r="260" ht="21.600000381469727" hidden="0" customHeight="1">
      <x:c r="A260" s="34" t="n">
        <x:v>257</x:v>
      </x:c>
      <x:c r="B260" s="35" t="str">
        <x:v>AHLDYGDGK</x:v>
      </x:c>
      <x:c r="C260" s="35" t="n">
        <x:f>LEN(B260)</x:f>
        <x:v>9</x:v>
      </x:c>
      <x:c r="D260" s="35" t="n">
        <x:v>1</x:v>
      </x:c>
      <x:c r="E260" s="21" t="str">
        <x:v>Direct sensory evidence; synthetic peptide; trained 12-member sensory panel; five-taste evaluation</x:v>
      </x:c>
      <x:c r="F260" s="21" t="str">
        <x:v>slight umami, saltiness; synthetic peptide at 1 mg/mL; umami threshold 0.52 +/- 0.04 mmol/L</x:v>
      </x:c>
      <x:c r="G260" s="21" t="str">
        <x:v>Stropharia rugosoannulata enzymatic hydrolysate</x:v>
      </x:c>
      <x:c r="H260" s="22" t="str">
        <x:v>10.1016/j.foodchem.2024.142385</x:v>
      </x:c>
    </x:row>
    <x:row r="261" ht="21.600000381469727" hidden="0" customHeight="1">
      <x:c r="A261" s="34" t="n">
        <x:v>258</x:v>
      </x:c>
      <x:c r="B261" s="35" t="str">
        <x:v>LGKSEDDVSK</x:v>
      </x:c>
      <x:c r="C261" s="35" t="n">
        <x:f>LEN(B261)</x:f>
        <x:v>10</x:v>
      </x:c>
      <x:c r="D261" s="35" t="n">
        <x:v>1</x:v>
      </x:c>
      <x:c r="E261" s="21" t="str">
        <x:v>Direct sensory evidence; synthetic peptide; trained 12-member sensory panel; five-taste evaluation</x:v>
      </x:c>
      <x:c r="F261" s="21" t="str">
        <x:v>umami, slight bitterness, saltiness; synthetic peptide at 1 mg/mL; umami threshold 0.23 +/- 0.10 mmol/L</x:v>
      </x:c>
      <x:c r="G261" s="21" t="str">
        <x:v>Stropharia rugosoannulata enzymatic hydrolysate</x:v>
      </x:c>
      <x:c r="H261" s="22" t="str">
        <x:v>10.1016/j.foodchem.2024.142385</x:v>
      </x:c>
    </x:row>
    <x:row r="262" ht="32.400001525878906" hidden="0" customHeight="1">
      <x:c r="A262" s="34" t="n">
        <x:v>259</x:v>
      </x:c>
      <x:c r="B262" s="35" t="str">
        <x:v>LPGVAE</x:v>
      </x:c>
      <x:c r="C262" s="35" t="n">
        <x:f>LEN(B262)</x:f>
        <x:v>6</x:v>
      </x:c>
      <x:c r="D262" s="35" t="n">
        <x:v>1</x:v>
      </x:c>
      <x:c r="E262" s="21" t="str">
        <x:v>Direct sensory evidence (study-level taste profile); synthetic peptide; trained 10-member sensory panel; five-taste evaluation</x:v>
      </x:c>
      <x:c r="F262" s="21" t="str">
        <x:v>umami, sweet and salty responses were prominent across the five synthetic peptides; umami threshold 0.214 mmol/L</x:v>
      </x:c>
      <x:c r="G262" s="21" t="str">
        <x:v>Lentinula edodes enzymatic hydrolysate</x:v>
      </x:c>
      <x:c r="H262" s="22" t="str">
        <x:v>10.1016/j.foodchem.2023.136090</x:v>
      </x:c>
    </x:row>
    <x:row r="263" ht="32.400001525878906" hidden="0" customHeight="1">
      <x:c r="A263" s="34" t="n">
        <x:v>260</x:v>
      </x:c>
      <x:c r="B263" s="35" t="str">
        <x:v>LDELEK</x:v>
      </x:c>
      <x:c r="C263" s="35" t="n">
        <x:f>LEN(B263)</x:f>
        <x:v>6</x:v>
      </x:c>
      <x:c r="D263" s="35" t="n">
        <x:v>1</x:v>
      </x:c>
      <x:c r="E263" s="21" t="str">
        <x:v>Direct sensory evidence (study-level taste profile); synthetic peptide; trained 10-member sensory panel; five-taste evaluation</x:v>
      </x:c>
      <x:c r="F263" s="21" t="str">
        <x:v>umami, sweet and salty responses were prominent across the five synthetic peptides; umami threshold 0.168 mmol/L</x:v>
      </x:c>
      <x:c r="G263" s="21" t="str">
        <x:v>Lentinula edodes enzymatic hydrolysate</x:v>
      </x:c>
      <x:c r="H263" s="22" t="str">
        <x:v>10.1016/j.foodchem.2023.136090</x:v>
      </x:c>
    </x:row>
    <x:row r="264" ht="32.400001525878906" hidden="0" customHeight="1">
      <x:c r="A264" s="34" t="n">
        <x:v>261</x:v>
      </x:c>
      <x:c r="B264" s="35" t="str">
        <x:v>DVELSK</x:v>
      </x:c>
      <x:c r="C264" s="35" t="n">
        <x:f>LEN(B264)</x:f>
        <x:v>6</x:v>
      </x:c>
      <x:c r="D264" s="35" t="n">
        <x:v>1</x:v>
      </x:c>
      <x:c r="E264" s="21" t="str">
        <x:v>Direct sensory evidence (study-level taste profile); synthetic peptide; trained 10-member sensory panel; five-taste evaluation</x:v>
      </x:c>
      <x:c r="F264" s="21" t="str">
        <x:v>umami, sweet and salty responses were prominent across the five synthetic peptides; umami threshold 0.091 mmol/L</x:v>
      </x:c>
      <x:c r="G264" s="21" t="str">
        <x:v>Lentinula edodes enzymatic hydrolysate</x:v>
      </x:c>
      <x:c r="H264" s="22" t="str">
        <x:v>10.1016/j.foodchem.2023.136090</x:v>
      </x:c>
    </x:row>
    <x:row r="265" ht="32.400001525878906" hidden="0" customHeight="1">
      <x:c r="A265" s="34" t="n">
        <x:v>262</x:v>
      </x:c>
      <x:c r="B265" s="35" t="str">
        <x:v>LPDEAR</x:v>
      </x:c>
      <x:c r="C265" s="35" t="n">
        <x:f>LEN(B265)</x:f>
        <x:v>6</x:v>
      </x:c>
      <x:c r="D265" s="35" t="n">
        <x:v>1</x:v>
      </x:c>
      <x:c r="E265" s="21" t="str">
        <x:v>Direct sensory evidence (study-level taste profile); synthetic peptide; trained 10-member sensory panel; five-taste evaluation</x:v>
      </x:c>
      <x:c r="F265" s="21" t="str">
        <x:v>umami, sweet and salty responses were prominent across the five synthetic peptides; umami threshold 0.179 mmol/L</x:v>
      </x:c>
      <x:c r="G265" s="21" t="str">
        <x:v>Lentinula edodes enzymatic hydrolysate</x:v>
      </x:c>
      <x:c r="H265" s="22" t="str">
        <x:v>10.1016/j.foodchem.2023.136090</x:v>
      </x:c>
    </x:row>
    <x:row r="266" ht="32.400001525878906" hidden="0" customHeight="1">
      <x:c r="A266" s="34" t="n">
        <x:v>263</x:v>
      </x:c>
      <x:c r="B266" s="35" t="str">
        <x:v>TTLPDK</x:v>
      </x:c>
      <x:c r="C266" s="35" t="n">
        <x:f>LEN(B266)</x:f>
        <x:v>6</x:v>
      </x:c>
      <x:c r="D266" s="35" t="n">
        <x:v>1</x:v>
      </x:c>
      <x:c r="E266" s="21" t="str">
        <x:v>Direct sensory evidence (study-level taste profile); synthetic peptide; trained 10-member sensory panel; five-taste evaluation</x:v>
      </x:c>
      <x:c r="F266" s="21" t="str">
        <x:v>umami, sweet and salty responses were prominent across the five synthetic peptides; umami threshold 0.371 mmol/L</x:v>
      </x:c>
      <x:c r="G266" s="21" t="str">
        <x:v>Lentinula edodes enzymatic hydrolysate</x:v>
      </x:c>
      <x:c r="H266" s="22" t="str">
        <x:v>10.1016/j.foodchem.2023.136090</x:v>
      </x:c>
    </x:row>
    <x:row r="267" ht="32.400001525878906" hidden="0" customHeight="1">
      <x:c r="A267" s="34" t="n">
        <x:v>264</x:v>
      </x:c>
      <x:c r="B267" s="35" t="str">
        <x:v>ELWR</x:v>
      </x:c>
      <x:c r="C267" s="35" t="n">
        <x:f>LEN(B267)</x:f>
        <x:v>4</x:v>
      </x:c>
      <x:c r="D267" s="35" t="n">
        <x:v>1</x:v>
      </x:c>
      <x:c r="E267" s="21" t="str">
        <x:v>Direct sensory evidence; synthetic peptide (&gt;98% purity); trained 11-member sensory panel; five-taste evaluation; electronic tongue</x:v>
      </x:c>
      <x:c r="F267" s="21" t="str">
        <x:v>slight bitter, umami, salty, sweet; synthetic peptide at 1 mg/mL and pH 6.5; umami threshold 0.52 +/- 0.10 mmol/L</x:v>
      </x:c>
      <x:c r="G267" s="21" t="str">
        <x:v>Stropharia rugosoannulata enzymatic hydrolysate, fraction F3</x:v>
      </x:c>
      <x:c r="H267" s="22" t="str">
        <x:v>10.7506/spkx1002-6630-20230222-203</x:v>
      </x:c>
    </x:row>
    <x:row r="268" ht="32.400001525878906" hidden="0" customHeight="1">
      <x:c r="A268" s="34" t="n">
        <x:v>265</x:v>
      </x:c>
      <x:c r="B268" s="35" t="str">
        <x:v>RLVDR</x:v>
      </x:c>
      <x:c r="C268" s="35" t="n">
        <x:f>LEN(B268)</x:f>
        <x:v>5</x:v>
      </x:c>
      <x:c r="D268" s="35" t="n">
        <x:v>1</x:v>
      </x:c>
      <x:c r="E268" s="21" t="str">
        <x:v>Direct sensory evidence; synthetic peptide (&gt;98% purity); trained 11-member sensory panel; five-taste evaluation; electronic tongue</x:v>
      </x:c>
      <x:c r="F268" s="21" t="str">
        <x:v>umami, salty, slight sweet; synthetic peptide at 1 mg/mL and pH 6.5; umami threshold 0.86 +/- 0.10 mmol/L</x:v>
      </x:c>
      <x:c r="G268" s="21" t="str">
        <x:v>Stropharia rugosoannulata enzymatic hydrolysate, fraction F3</x:v>
      </x:c>
      <x:c r="H268" s="22" t="str">
        <x:v>10.7506/spkx1002-6630-20230222-203</x:v>
      </x:c>
    </x:row>
    <x:row r="269" ht="32.400001525878906" hidden="0" customHeight="1">
      <x:c r="A269" s="34" t="n">
        <x:v>266</x:v>
      </x:c>
      <x:c r="B269" s="35" t="str">
        <x:v>KPDNR</x:v>
      </x:c>
      <x:c r="C269" s="35" t="n">
        <x:f>LEN(B269)</x:f>
        <x:v>5</x:v>
      </x:c>
      <x:c r="D269" s="35" t="n">
        <x:v>1</x:v>
      </x:c>
      <x:c r="E269" s="21" t="str">
        <x:v>Direct sensory evidence; synthetic peptide (&gt;98% purity); trained 11-member sensory panel; five-taste evaluation; electronic tongue</x:v>
      </x:c>
      <x:c r="F269" s="21" t="str">
        <x:v>umami, salty, sweet; synthetic peptide at 1 mg/mL and pH 6.5; umami threshold 0.30 +/- 0.10 mmol/L</x:v>
      </x:c>
      <x:c r="G269" s="21" t="str">
        <x:v>Stropharia rugosoannulata enzymatic hydrolysate, fraction F3</x:v>
      </x:c>
      <x:c r="H269" s="22" t="str">
        <x:v>10.7506/spkx1002-6630-20230222-203</x:v>
      </x:c>
    </x:row>
    <x:row r="270" ht="32.400001525878906" hidden="0" customHeight="1">
      <x:c r="A270" s="34" t="n">
        <x:v>267</x:v>
      </x:c>
      <x:c r="B270" s="35" t="str">
        <x:v>AHLRF</x:v>
      </x:c>
      <x:c r="C270" s="35" t="n">
        <x:f>LEN(B270)</x:f>
        <x:v>5</x:v>
      </x:c>
      <x:c r="D270" s="35" t="n">
        <x:v>1</x:v>
      </x:c>
      <x:c r="E270" s="21" t="str">
        <x:v>Direct sensory evidence; synthetic peptide (&gt;98% purity); trained 11-member sensory panel; five-taste evaluation; electronic tongue</x:v>
      </x:c>
      <x:c r="F270" s="21" t="str">
        <x:v>umami, salty; synthetic peptide at 1 mg/mL and pH 6.5; umami threshold 0.49 +/- 0.10 mmol/L</x:v>
      </x:c>
      <x:c r="G270" s="21" t="str">
        <x:v>Stropharia rugosoannulata enzymatic hydrolysate, fraction F3</x:v>
      </x:c>
      <x:c r="H270" s="22" t="str">
        <x:v>10.7506/spkx1002-6630-20230222-203</x:v>
      </x:c>
    </x:row>
    <x:row r="271" ht="32.400001525878906" hidden="0" customHeight="1">
      <x:c r="A271" s="34" t="n">
        <x:v>268</x:v>
      </x:c>
      <x:c r="B271" s="35" t="str">
        <x:v>EGHKGW</x:v>
      </x:c>
      <x:c r="C271" s="35" t="n">
        <x:f>LEN(B271)</x:f>
        <x:v>6</x:v>
      </x:c>
      <x:c r="D271" s="35" t="n">
        <x:v>1</x:v>
      </x:c>
      <x:c r="E271" s="21" t="str">
        <x:v>Direct sensory evidence; synthetic peptide (&gt;98% purity); trained 11-member sensory panel; five-taste evaluation; electronic tongue</x:v>
      </x:c>
      <x:c r="F271" s="21" t="str">
        <x:v>umami, salty, slight sweet; synthetic peptide at 1 mg/mL and pH 6.5; umami threshold 0.44 +/- 0.09 mmol/L</x:v>
      </x:c>
      <x:c r="G271" s="21" t="str">
        <x:v>Stropharia rugosoannulata enzymatic hydrolysate, fraction F3</x:v>
      </x:c>
      <x:c r="H271" s="22" t="str">
        <x:v>10.7506/spkx1002-6630-20230222-203</x:v>
      </x:c>
    </x:row>
    <x:row r="272" ht="32.400001525878906" hidden="0" customHeight="1">
      <x:c r="A272" s="34" t="n">
        <x:v>269</x:v>
      </x:c>
      <x:c r="B272" s="35" t="str">
        <x:v>DY</x:v>
      </x:c>
      <x:c r="C272" s="35" t="n">
        <x:f>LEN(B272)</x:f>
        <x:v>2</x:v>
      </x:c>
      <x:c r="D272" s="35" t="n">
        <x:v>1</x:v>
      </x:c>
      <x:c r="E272" s="21" t="str">
        <x:v>Direct sensory evidence; synthetic peptide; trained human sensory panel; descriptive taste evaluation; taste-threshold determination</x:v>
      </x:c>
      <x:c r="F272" s="21" t="str">
        <x:v>prominent umami and salty taste, sweetness; detection threshold 0.0625 +/- 0.01 mg/mL</x:v>
      </x:c>
      <x:c r="G272" s="21" t="str">
        <x:v>soy sauce</x:v>
      </x:c>
      <x:c r="H272" s="22" t="str">
        <x:v>10.1016/j.ijgfs.2026.101477</x:v>
      </x:c>
    </x:row>
    <x:row r="273" ht="32.400001525878906" hidden="0" customHeight="1">
      <x:c r="A273" s="34" t="n">
        <x:v>270</x:v>
      </x:c>
      <x:c r="B273" s="35" t="str">
        <x:v>ERH</x:v>
      </x:c>
      <x:c r="C273" s="35" t="n">
        <x:f>LEN(B273)</x:f>
        <x:v>3</x:v>
      </x:c>
      <x:c r="D273" s="35" t="n">
        <x:v>1</x:v>
      </x:c>
      <x:c r="E273" s="21" t="str">
        <x:v>Direct sensory evidence; synthetic peptide; trained human sensory panel; descriptive taste evaluation; taste-threshold determination</x:v>
      </x:c>
      <x:c r="F273" s="21" t="str">
        <x:v>umami, sour, bitter, salty; detection threshold 0.0625 +/- 0.03 mg/mL</x:v>
      </x:c>
      <x:c r="G273" s="21" t="str">
        <x:v>soy sauce</x:v>
      </x:c>
      <x:c r="H273" s="22" t="str">
        <x:v>10.1016/j.ijgfs.2026.101477</x:v>
      </x:c>
    </x:row>
    <x:row r="274" ht="32.400001525878906" hidden="0" customHeight="1">
      <x:c r="A274" s="34" t="n">
        <x:v>271</x:v>
      </x:c>
      <x:c r="B274" s="35" t="str">
        <x:v>ALDL</x:v>
      </x:c>
      <x:c r="C274" s="35" t="n">
        <x:f>LEN(B274)</x:f>
        <x:v>4</x:v>
      </x:c>
      <x:c r="D274" s="35" t="n">
        <x:v>1</x:v>
      </x:c>
      <x:c r="E274" s="21" t="str">
        <x:v>Direct sensory evidence; synthetic peptide; trained human sensory panel; descriptive taste evaluation; taste-threshold determination</x:v>
      </x:c>
      <x:c r="F274" s="21" t="str">
        <x:v>umami, salty; detection threshold 0.95 mmol/L</x:v>
      </x:c>
      <x:c r="G274" s="21" t="str">
        <x:v>Acetes chinensis powder</x:v>
      </x:c>
      <x:c r="H274" s="22" t="str">
        <x:v>10.1016/j.foodchem.2025.146538</x:v>
      </x:c>
    </x:row>
    <x:row r="275" ht="32.400001525878906" hidden="0" customHeight="1">
      <x:c r="A275" s="34" t="n">
        <x:v>272</x:v>
      </x:c>
      <x:c r="B275" s="35" t="str">
        <x:v>GELF</x:v>
      </x:c>
      <x:c r="C275" s="35" t="n">
        <x:f>LEN(B275)</x:f>
        <x:v>4</x:v>
      </x:c>
      <x:c r="D275" s="35" t="n">
        <x:v>1</x:v>
      </x:c>
      <x:c r="E275" s="21" t="str">
        <x:v>Direct sensory evidence; synthetic peptide; trained human sensory panel; descriptive taste evaluation; taste-threshold determination</x:v>
      </x:c>
      <x:c r="F275" s="21" t="str">
        <x:v>umami, salty; detection threshold 1.82 mmol/L</x:v>
      </x:c>
      <x:c r="G275" s="21" t="str">
        <x:v>Acetes chinensis powder</x:v>
      </x:c>
      <x:c r="H275" s="22" t="str">
        <x:v>10.1016/j.foodchem.2025.146538</x:v>
      </x:c>
    </x:row>
    <x:row r="276" ht="32.400001525878906" hidden="0" customHeight="1">
      <x:c r="A276" s="34" t="n">
        <x:v>273</x:v>
      </x:c>
      <x:c r="B276" s="35" t="str">
        <x:v>LRYE</x:v>
      </x:c>
      <x:c r="C276" s="35" t="n">
        <x:f>LEN(B276)</x:f>
        <x:v>4</x:v>
      </x:c>
      <x:c r="D276" s="35" t="n">
        <x:v>1</x:v>
      </x:c>
      <x:c r="E276" s="21" t="str">
        <x:v>Direct sensory evidence; synthetic peptide; trained human sensory panel; descriptive taste evaluation; taste-threshold determination</x:v>
      </x:c>
      <x:c r="F276" s="21" t="str">
        <x:v>umami, salty; detection threshold 0.99 mmol/L</x:v>
      </x:c>
      <x:c r="G276" s="21" t="str">
        <x:v>Acetes chinensis powder</x:v>
      </x:c>
      <x:c r="H276" s="22" t="str">
        <x:v>10.1016/j.foodchem.2025.146538</x:v>
      </x:c>
    </x:row>
    <x:row r="277" ht="32.400001525878906" hidden="0" customHeight="1">
      <x:c r="A277" s="34" t="n">
        <x:v>274</x:v>
      </x:c>
      <x:c r="B277" s="35" t="str">
        <x:v>PLNV</x:v>
      </x:c>
      <x:c r="C277" s="35" t="n">
        <x:f>LEN(B277)</x:f>
        <x:v>4</x:v>
      </x:c>
      <x:c r="D277" s="35" t="n">
        <x:v>1</x:v>
      </x:c>
      <x:c r="E277" s="21" t="str">
        <x:v>Direct sensory evidence; synthetic peptide; trained human sensory panel; descriptive taste evaluation; taste-threshold determination</x:v>
      </x:c>
      <x:c r="F277" s="21" t="str">
        <x:v>umami, salty; detection threshold 3.47 mmol/L</x:v>
      </x:c>
      <x:c r="G277" s="21" t="str">
        <x:v>Acetes chinensis powder</x:v>
      </x:c>
      <x:c r="H277" s="22" t="str">
        <x:v>10.1016/j.foodchem.2025.146538</x:v>
      </x:c>
    </x:row>
    <x:row r="278" ht="32.400001525878906" hidden="0" customHeight="1">
      <x:c r="A278" s="34" t="n">
        <x:v>275</x:v>
      </x:c>
      <x:c r="B278" s="35" t="str">
        <x:v>VDVE</x:v>
      </x:c>
      <x:c r="C278" s="35" t="n">
        <x:f>LEN(B278)</x:f>
        <x:v>4</x:v>
      </x:c>
      <x:c r="D278" s="35" t="n">
        <x:v>1</x:v>
      </x:c>
      <x:c r="E278" s="21" t="str">
        <x:v>Direct sensory evidence; synthetic peptide; trained human sensory panel; descriptive taste evaluation; taste-threshold determination</x:v>
      </x:c>
      <x:c r="F278" s="21" t="str">
        <x:v>umami, salty; detection threshold 1.31 mmol/L</x:v>
      </x:c>
      <x:c r="G278" s="21" t="str">
        <x:v>Acetes chinensis powder</x:v>
      </x:c>
      <x:c r="H278" s="22" t="str">
        <x:v>10.1016/j.foodchem.2025.146538</x:v>
      </x:c>
    </x:row>
    <x:row r="279" ht="32.400001525878906" hidden="0" customHeight="1">
      <x:c r="A279" s="34" t="n">
        <x:v>276</x:v>
      </x:c>
      <x:c r="B279" s="35" t="str">
        <x:v>VMGVSKVKE</x:v>
      </x:c>
      <x:c r="C279" s="35" t="n">
        <x:f>LEN(B279)</x:f>
        <x:v>9</x:v>
      </x:c>
      <x:c r="D279" s="35" t="n">
        <x:v>1</x:v>
      </x:c>
      <x:c r="E279" s="21" t="str">
        <x:v>Direct sensory evidence; synthetic peptide; trained human sensory panel; descriptive taste evaluation; taste-threshold determination</x:v>
      </x:c>
      <x:c r="F279" s="21" t="str">
        <x:v>salty, umami, astringent; sensory evaluation at 2 mg/mL; detection threshold 0.15 mmol/L</x:v>
      </x:c>
      <x:c r="G279" s="21" t="str">
        <x:v>fermented milk; Bos taurus milk proteins</x:v>
      </x:c>
      <x:c r="H279" s="22" t="str">
        <x:v>10.1016/j.foodchem.2026.147994</x:v>
      </x:c>
    </x:row>
    <x:row r="280" ht="32.400001525878906" hidden="0" customHeight="1">
      <x:c r="A280" s="34" t="n">
        <x:v>277</x:v>
      </x:c>
      <x:c r="B280" s="35" t="str">
        <x:v>FSDKIA</x:v>
      </x:c>
      <x:c r="C280" s="35" t="n">
        <x:f>LEN(B280)</x:f>
        <x:v>6</x:v>
      </x:c>
      <x:c r="D280" s="35" t="n">
        <x:v>1</x:v>
      </x:c>
      <x:c r="E280" s="21" t="str">
        <x:v>Direct sensory evidence; synthetic peptide; trained human sensory panel; descriptive taste evaluation; taste-threshold determination</x:v>
      </x:c>
      <x:c r="F280" s="21" t="str">
        <x:v>bitter, salty; sensory evaluation at 2 mg/mL; detection threshold 0.46 mmol/L</x:v>
      </x:c>
      <x:c r="G280" s="21" t="str">
        <x:v>fermented milk; Bos taurus milk proteins</x:v>
      </x:c>
      <x:c r="H280" s="22" t="str">
        <x:v>10.1016/j.foodchem.2026.147994</x:v>
      </x:c>
    </x:row>
    <x:row r="281" ht="32.400001525878906" hidden="0" customHeight="1">
      <x:c r="A281" s="34" t="n">
        <x:v>278</x:v>
      </x:c>
      <x:c r="B281" s="35" t="str">
        <x:v>FAGDDAPR</x:v>
      </x:c>
      <x:c r="C281" s="35" t="n">
        <x:f>LEN(B281)</x:f>
        <x:v>8</x:v>
      </x:c>
      <x:c r="D281" s="35" t="n">
        <x:v>1</x:v>
      </x:c>
      <x:c r="E281" s="21" t="str">
        <x:v>Direct sensory evidence; synthetic peptide (98% purity); human sensory evaluation; electronic-tongue analysis; taste-threshold determination</x:v>
      </x:c>
      <x:c r="F281" s="21" t="str">
        <x:v>umami, sweet, salty, weak sour; water solution adjusted to pH 6.5; umami-recognition threshold 0.195 mg/mL</x:v>
      </x:c>
      <x:c r="G281" s="21" t="str">
        <x:v>Takifugu rubripes muscle; actin-derived peptide</x:v>
      </x:c>
      <x:c r="H281" s="22" t="str">
        <x:v>10.1016/j.jfutfo.2025.01.002</x:v>
      </x:c>
    </x:row>
    <x:row r="282" ht="32.400001525878906" hidden="0" customHeight="1">
      <x:c r="A282" s="34" t="n">
        <x:v>279</x:v>
      </x:c>
      <x:c r="B282" s="35" t="str">
        <x:v>TLGEKMTEEEVDE</x:v>
      </x:c>
      <x:c r="C282" s="35" t="n">
        <x:f>LEN(B282)</x:f>
        <x:v>13</x:v>
      </x:c>
      <x:c r="D282" s="35" t="n">
        <x:v>1</x:v>
      </x:c>
      <x:c r="E282" s="21" t="str">
        <x:v>Direct sensory evidence; synthetic peptide; human sensory evaluation; electronic-tongue analysis; 3-AFC taste-threshold determination; LC-MS/MS identification</x:v>
      </x:c>
      <x:c r="F282" s="21" t="str">
        <x:v>umami, salty, weak sweet, weak bitter; sensory evaluation at 1 mg/mL; detection threshold 0.09 +/- 0.01 mmol/L</x:v>
      </x:c>
      <x:c r="G282" s="21" t="str">
        <x:v>Cherry Valley duck meat extract</x:v>
      </x:c>
      <x:c r="H282" s="22" t="str">
        <x:v>10.1016/j.foodchem.2026.148261</x:v>
      </x:c>
    </x:row>
    <x:row r="283" ht="32.400001525878906" hidden="0" customHeight="1">
      <x:c r="A283" s="36" t="n">
        <x:v>280</x:v>
      </x:c>
      <x:c r="B283" s="37" t="str">
        <x:v>DSFF</x:v>
      </x:c>
      <x:c r="C283" s="37" t="n">
        <x:f>LEN(B283)</x:f>
        <x:v>4</x:v>
      </x:c>
      <x:c r="D283" s="37" t="n">
        <x:v>1</x:v>
      </x:c>
      <x:c r="E283" s="25" t="str">
        <x:v>Direct sensory evidence; synthetic peptide; trained human sensory panel; quantitative descriptive analysis; taste-threshold determination; LC-MS/MS identification</x:v>
      </x:c>
      <x:c r="F283" s="25" t="str">
        <x:v>umami, sourness, saltiness; umami intensity 1.70; detection threshold 0.24 mmol/L; threshold with MSG 0.30 mmol/L</x:v>
      </x:c>
      <x:c r="G283" s="25" t="str">
        <x:v>walnut meal protein hydrolysate</x:v>
      </x:c>
      <x:c r="H283" s="26" t="str">
        <x:v>10.1016/j.foodchem.2026.148141</x:v>
      </x:c>
    </x:row>
    <x:row r="285" ht="42" hidden="0" customHeight="1">
      <x:c r="A285" s="81" t="str">
        <x:v>Positive endpoint</x:v>
      </x:c>
      <x:c r="B285" s="80" t="str">
        <x:v>Eligible salty or saltiness-enhancing activity reported at sequence level; evidence provenance and assay context are retained.</x:v>
      </x:c>
      <x:c r="C285" s="80"/>
      <x:c r="D285" s="80"/>
      <x:c r="E285" s="80"/>
      <x:c r="F285" s="80"/>
      <x:c r="G285" s="80"/>
      <x:c r="H285" s="80"/>
    </x:row>
    <x:row r="286" ht="42" hidden="0" customHeight="1">
      <x:c r="A286" s="82" t="str">
        <x:v>Sequence curation</x:v>
      </x:c>
      <x:c r="B286" s="80" t="str">
        <x:v>Sequences contain 2-15 standard proteinogenic amino-acid codes. RV was excluded because of conflicting labels; exact duplicates were resolved before model development.</x:v>
      </x:c>
      <x:c r="C286" s="80"/>
      <x:c r="D286" s="80"/>
      <x:c r="E286" s="80"/>
      <x:c r="F286" s="80"/>
      <x:c r="G286" s="80"/>
      <x:c r="H286" s="80"/>
    </x:row>
    <x:row r="287" ht="42" hidden="0" customHeight="1">
      <x:c r="A287" s="82" t="str">
        <x:v>Interpretation</x:v>
      </x:c>
      <x:c r="B287" s="80" t="str">
        <x:v>Class label 1 denotes the combined modeling endpoint and does not imply that every record has identical sensory evidence strength. No independent external validation set is included.</x:v>
      </x:c>
      <x:c r="C287" s="80"/>
      <x:c r="D287" s="80"/>
      <x:c r="E287" s="80"/>
      <x:c r="F287" s="80"/>
      <x:c r="G287" s="80"/>
      <x:c r="H287" s="80"/>
    </x:row>
  </x:sheetData>
  <x:mergeCells>
    <x:mergeCell ref="A1:H1"/>
    <x:mergeCell ref="A2:H2"/>
    <x:mergeCell ref="B285:H285"/>
    <x:mergeCell ref="B286:H286"/>
    <x:mergeCell ref="B287:H287"/>
  </x:mergeCells>
  <x:pageMargins left="0.7" right="0.7" top="0.75" bottom="0.75" header="0.3" footer="0.3"/>
  <x:tableParts count="1">
    <x:tablePart xmlns:r="http://schemas.openxmlformats.org/officeDocument/2006/relationships" r:id="Rab1d2b94da1141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9" hidden="0" customWidth="1"/>
    <x:col min="3" max="3" width="10" hidden="0" customWidth="1"/>
    <x:col min="4" max="4" width="10" hidden="0" customWidth="1"/>
    <x:col min="5" max="5" width="36" hidden="0" customWidth="1"/>
    <x:col min="6" max="6" width="31" hidden="0" customWidth="1"/>
    <x:col min="7" max="7" width="47" hidden="0" customWidth="1"/>
    <x:col min="8" max="8" width="40" hidden="0" customWidth="1"/>
  </x:cols>
  <x:sheetData>
    <x:row r="1" ht="28" customHeight="1">
      <x:c r="A1" s="85" t="str">
        <x:v>Table S2. Curated negative dataset of non-salty peptides used for model development (n = 300)</x:v>
      </x:c>
      <x:c r="B1" s="58"/>
      <x:c r="C1" s="58"/>
      <x:c r="D1" s="58"/>
      <x:c r="E1" s="58"/>
      <x:c r="F1" s="58"/>
      <x:c r="G1" s="58"/>
      <x:c r="H1" s="58"/>
    </x:row>
    <x:row r="2" ht="24" customHeight="1">
      <x:c r="A2" s="7" t="str">
        <x:v>Evidence grades, assay conditions, and provenance are retained so that negative-label strength remains auditable.</x:v>
      </x:c>
      <x:c r="B2" s="41"/>
      <x:c r="C2" s="41"/>
      <x:c r="D2" s="41"/>
      <x:c r="E2" s="41"/>
      <x:c r="F2" s="41"/>
      <x:c r="G2" s="41"/>
      <x:c r="H2" s="41"/>
    </x:row>
    <x:row r="3" ht="32" customHeight="1">
      <x:c r="A3" s="86" t="str">
        <x:v>No.</x:v>
      </x:c>
      <x:c r="B3" s="87" t="str">
        <x:v>Peptide sequence</x:v>
      </x:c>
      <x:c r="C3" s="87" t="str">
        <x:v>Length (aa)</x:v>
      </x:c>
      <x:c r="D3" s="87" t="str">
        <x:v>Class label</x:v>
      </x:c>
      <x:c r="E3" s="87" t="str">
        <x:v>Assigned non-salty taste</x:v>
      </x:c>
      <x:c r="F3" s="87" t="str">
        <x:v>Evidence grade</x:v>
      </x:c>
      <x:c r="G3" s="87" t="str">
        <x:v>Validation / test condition</x:v>
      </x:c>
      <x:c r="H3" s="88" t="str">
        <x:v>Source / reference</x:v>
      </x:c>
    </x:row>
    <x:row r="4" ht="21.600000381469727" hidden="0" customHeight="1">
      <x:c r="A4" s="34" t="n">
        <x:v>1</x:v>
      </x:c>
      <x:c r="B4" s="35" t="str">
        <x:v>ADGSTINQNVK</x:v>
      </x:c>
      <x:c r="C4" s="35" t="n">
        <x:f>LEN(B4)</x:f>
        <x:v>11</x:v>
      </x:c>
      <x:c r="D4" s="35" t="n">
        <x:v>0</x:v>
      </x:c>
      <x:c r="E4" s="21" t="str">
        <x:v>weak umami, sour</x:v>
      </x:c>
      <x:c r="F4" s="21" t="str">
        <x:v>B1 - excluded as salty in the same sensory study</x:v>
      </x:c>
      <x:c r="G4" s="21" t="str">
        <x:v>synthetic peptide; trained 10-member sensory panel; five-taste radar; 2 mg/mL aqueous peptide solution; relaxed negative criterion</x:v>
      </x:c>
      <x:c r="H4" s="22" t="str">
        <x:v>10.1016/j.foodchem.2024.139071</x:v>
      </x:c>
    </x:row>
    <x:row r="5" ht="21.600000381469727" hidden="0" customHeight="1">
      <x:c r="A5" s="34" t="n">
        <x:v>2</x:v>
      </x:c>
      <x:c r="B5" s="35" t="str">
        <x:v>DPNHFGPADLPDKY</x:v>
      </x:c>
      <x:c r="C5" s="35" t="n">
        <x:f>LEN(B5)</x:f>
        <x:v>14</x:v>
      </x:c>
      <x:c r="D5" s="35" t="n">
        <x:v>0</x:v>
      </x:c>
      <x:c r="E5" s="21" t="str">
        <x:v>weak umami, sour</x:v>
      </x:c>
      <x:c r="F5" s="21" t="str">
        <x:v>B1 - excluded as salty in the same sensory study</x:v>
      </x:c>
      <x:c r="G5" s="21" t="str">
        <x:v>synthetic peptide; trained 10-member sensory panel; five-taste radar; 2 mg/mL aqueous peptide solution; relaxed negative criterion</x:v>
      </x:c>
      <x:c r="H5" s="22" t="str">
        <x:v>10.1016/j.foodchem.2024.139071</x:v>
      </x:c>
    </x:row>
    <x:row r="6" ht="21.600000381469727" hidden="0" customHeight="1">
      <x:c r="A6" s="34" t="n">
        <x:v>3</x:v>
      </x:c>
      <x:c r="B6" s="35" t="str">
        <x:v>EQLSTSEENSK</x:v>
      </x:c>
      <x:c r="C6" s="35" t="n">
        <x:f>LEN(B6)</x:f>
        <x:v>11</x:v>
      </x:c>
      <x:c r="D6" s="35" t="n">
        <x:v>0</x:v>
      </x:c>
      <x:c r="E6" s="21" t="str">
        <x:v>weak umami, sour</x:v>
      </x:c>
      <x:c r="F6" s="21" t="str">
        <x:v>B1 - excluded as salty in the same sensory study</x:v>
      </x:c>
      <x:c r="G6" s="21" t="str">
        <x:v>synthetic peptide; trained 10-member sensory panel; five-taste radar; 2 mg/mL aqueous peptide solution; relaxed negative criterion</x:v>
      </x:c>
      <x:c r="H6" s="22" t="str">
        <x:v>10.1016/j.foodchem.2024.139071</x:v>
      </x:c>
    </x:row>
    <x:row r="7" ht="21.600000381469727" hidden="0" customHeight="1">
      <x:c r="A7" s="34" t="n">
        <x:v>4</x:v>
      </x:c>
      <x:c r="B7" s="35" t="str">
        <x:v>ER</x:v>
      </x:c>
      <x:c r="C7" s="35" t="n">
        <x:f>LEN(B7)</x:f>
        <x:v>2</x:v>
      </x:c>
      <x:c r="D7" s="35" t="n">
        <x:v>0</x:v>
      </x:c>
      <x:c r="E7" s="21" t="str">
        <x:v>tasteless; did not enhance the NaCl-induced cellular response at 50/100 uM</x:v>
      </x:c>
      <x:c r="F7" s="21" t="str">
        <x:v>A2 - electronic-tongue test</x:v>
      </x:c>
      <x:c r="G7" s="21" t="str">
        <x:v>synthetic peptide; human sensory evaluation; electronic-tongue test; taste-cell Ca2+ imaging; 10 mg/mL peptide in 0.03% NaCl system</x:v>
      </x:c>
      <x:c r="H7" s="22" t="str">
        <x:v>10.1016/j.foodres.2024.114966; 10.1038/s41598-017-07756-x</x:v>
      </x:c>
    </x:row>
    <x:row r="8" ht="21.600000381469727" hidden="0" customHeight="1">
      <x:c r="A8" s="34" t="n">
        <x:v>5</x:v>
      </x:c>
      <x:c r="B8" s="35" t="str">
        <x:v>EVDELRSYSSLMK</x:v>
      </x:c>
      <x:c r="C8" s="35" t="n">
        <x:f>LEN(B8)</x:f>
        <x:v>13</x:v>
      </x:c>
      <x:c r="D8" s="35" t="n">
        <x:v>0</x:v>
      </x:c>
      <x:c r="E8" s="21" t="str">
        <x:v>weak bitter</x:v>
      </x:c>
      <x:c r="F8" s="21" t="str">
        <x:v>B1 - excluded as salty in the same sensory study</x:v>
      </x:c>
      <x:c r="G8" s="21" t="str">
        <x:v>synthetic peptide; trained 10-member sensory panel; five-taste radar; 2 mg/mL aqueous peptide solution; relaxed negative criterion</x:v>
      </x:c>
      <x:c r="H8" s="22" t="str">
        <x:v>10.1016/j.foodchem.2024.139071</x:v>
      </x:c>
    </x:row>
    <x:row r="9" ht="21.600000381469727" hidden="0" customHeight="1">
      <x:c r="A9" s="34" t="n">
        <x:v>6</x:v>
      </x:c>
      <x:c r="B9" s="35" t="str">
        <x:v>FVAPFPEVFGKEK</x:v>
      </x:c>
      <x:c r="C9" s="35" t="n">
        <x:f>LEN(B9)</x:f>
        <x:v>13</x:v>
      </x:c>
      <x:c r="D9" s="35" t="n">
        <x:v>0</x:v>
      </x:c>
      <x:c r="E9" s="21" t="str">
        <x:v>umami, sour, bitter, sweet, kokumi</x:v>
      </x:c>
      <x:c r="F9" s="21" t="str">
        <x:v>A1 - human sensory test</x:v>
      </x:c>
      <x:c r="G9" s="21" t="str">
        <x:v>synthetic peptide; human sensory evaluation; 3-AFC/TDA threshold determination</x:v>
      </x:c>
      <x:c r="H9" s="22" t="str">
        <x:v>10.26599/fshw.2024.9250377</x:v>
      </x:c>
    </x:row>
    <x:row r="10" ht="21.600000381469727" hidden="0" customHeight="1">
      <x:c r="A10" s="34" t="n">
        <x:v>7</x:v>
      </x:c>
      <x:c r="B10" s="35" t="str">
        <x:v>FVVAPFPEVFR</x:v>
      </x:c>
      <x:c r="C10" s="35" t="n">
        <x:f>LEN(B10)</x:f>
        <x:v>11</x:v>
      </x:c>
      <x:c r="D10" s="35" t="n">
        <x:v>0</x:v>
      </x:c>
      <x:c r="E10" s="21" t="str">
        <x:v>non-salty</x:v>
      </x:c>
      <x:c r="F10" s="21" t="str">
        <x:v>B1 - excluded as salty in the same sensory study</x:v>
      </x:c>
      <x:c r="G10" s="21" t="str">
        <x:v>synthetic peptide; trained 10-member sensory panel; five-taste radar; 2 mg/mL aqueous peptide solution; relaxed negative criterion</x:v>
      </x:c>
      <x:c r="H10" s="22" t="str">
        <x:v>10.1016/j.foodchem.2024.139071</x:v>
      </x:c>
    </x:row>
    <x:row r="11" ht="21.600000381469727" hidden="0" customHeight="1">
      <x:c r="A11" s="34" t="n">
        <x:v>8</x:v>
      </x:c>
      <x:c r="B11" s="35" t="str">
        <x:v>HKDDSPDLPK</x:v>
      </x:c>
      <x:c r="C11" s="35" t="n">
        <x:f>LEN(B11)</x:f>
        <x:v>10</x:v>
      </x:c>
      <x:c r="D11" s="35" t="n">
        <x:v>0</x:v>
      </x:c>
      <x:c r="E11" s="21" t="str">
        <x:v>weak umami, sour</x:v>
      </x:c>
      <x:c r="F11" s="21" t="str">
        <x:v>B1 - excluded as salty in the same sensory study</x:v>
      </x:c>
      <x:c r="G11" s="21" t="str">
        <x:v>synthetic peptide; trained 10-member sensory panel; five-taste radar; 2 mg/mL aqueous peptide solution; relaxed negative criterion</x:v>
      </x:c>
      <x:c r="H11" s="22" t="str">
        <x:v>10.1016/j.foodchem.2024.139071</x:v>
      </x:c>
    </x:row>
    <x:row r="12" ht="21.600000381469727" hidden="0" customHeight="1">
      <x:c r="A12" s="34" t="n">
        <x:v>9</x:v>
      </x:c>
      <x:c r="B12" s="35" t="str">
        <x:v>IGGIGTVPVGR</x:v>
      </x:c>
      <x:c r="C12" s="35" t="n">
        <x:f>LEN(B12)</x:f>
        <x:v>11</x:v>
      </x:c>
      <x:c r="D12" s="35" t="n">
        <x:v>0</x:v>
      </x:c>
      <x:c r="E12" s="21" t="str">
        <x:v>weak bitter</x:v>
      </x:c>
      <x:c r="F12" s="21" t="str">
        <x:v>B1 - excluded as salty in the same sensory study</x:v>
      </x:c>
      <x:c r="G12" s="21" t="str">
        <x:v>synthetic peptide; trained 10-member sensory panel; five-taste radar; 2 mg/mL aqueous peptide solution; relaxed negative criterion</x:v>
      </x:c>
      <x:c r="H12" s="22" t="str">
        <x:v>10.1016/j.foodchem.2024.139071</x:v>
      </x:c>
    </x:row>
    <x:row r="13" ht="21.600000381469727" hidden="0" customHeight="1">
      <x:c r="A13" s="34" t="n">
        <x:v>10</x:v>
      </x:c>
      <x:c r="B13" s="35" t="str">
        <x:v>IINSFTQDDEK</x:v>
      </x:c>
      <x:c r="C13" s="35" t="n">
        <x:f>LEN(B13)</x:f>
        <x:v>11</x:v>
      </x:c>
      <x:c r="D13" s="35" t="n">
        <x:v>0</x:v>
      </x:c>
      <x:c r="E13" s="21" t="str">
        <x:v>weak sour</x:v>
      </x:c>
      <x:c r="F13" s="21" t="str">
        <x:v>B1 - excluded as salty in the same sensory study</x:v>
      </x:c>
      <x:c r="G13" s="21" t="str">
        <x:v>synthetic peptide; trained 10-member sensory panel; five-taste radar; 2 mg/mL aqueous peptide solution; relaxed negative criterion</x:v>
      </x:c>
      <x:c r="H13" s="22" t="str">
        <x:v>10.1016/j.foodchem.2024.139071</x:v>
      </x:c>
    </x:row>
    <x:row r="14" ht="21.600000381469727" hidden="0" customHeight="1">
      <x:c r="A14" s="34" t="n">
        <x:v>11</x:v>
      </x:c>
      <x:c r="B14" s="35" t="str">
        <x:v>IPYVRYL</x:v>
      </x:c>
      <x:c r="C14" s="35" t="n">
        <x:f>LEN(B14)</x:f>
        <x:v>7</x:v>
      </x:c>
      <x:c r="D14" s="35" t="n">
        <x:v>0</x:v>
      </x:c>
      <x:c r="E14" s="21" t="str">
        <x:v>bitter</x:v>
      </x:c>
      <x:c r="F14" s="21" t="str">
        <x:v>A1 - human sensory test</x:v>
      </x:c>
      <x:c r="G14" s="21" t="str">
        <x:v>synthetic peptide; human sensory evaluation; 3-AFC/TDA threshold determination</x:v>
      </x:c>
      <x:c r="H14" s="22" t="str">
        <x:v>10.26599/fshw.2024.9250377</x:v>
      </x:c>
    </x:row>
    <x:row r="15" ht="21.600000381469727" hidden="0" customHeight="1">
      <x:c r="A15" s="34" t="n">
        <x:v>12</x:v>
      </x:c>
      <x:c r="B15" s="35" t="str">
        <x:v>KAEVQLDGGK</x:v>
      </x:c>
      <x:c r="C15" s="35" t="n">
        <x:f>LEN(B15)</x:f>
        <x:v>10</x:v>
      </x:c>
      <x:c r="D15" s="35" t="n">
        <x:v>0</x:v>
      </x:c>
      <x:c r="E15" s="21" t="str">
        <x:v>non-salty</x:v>
      </x:c>
      <x:c r="F15" s="21" t="str">
        <x:v>B1 - excluded as salty in the same sensory study</x:v>
      </x:c>
      <x:c r="G15" s="21" t="str">
        <x:v>synthetic peptide; trained 10-member sensory panel; five-taste radar; 2 mg/mL aqueous peptide solution; relaxed negative criterion</x:v>
      </x:c>
      <x:c r="H15" s="22" t="str">
        <x:v>10.1016/j.foodchem.2024.139071</x:v>
      </x:c>
    </x:row>
    <x:row r="16" ht="21.600000381469727" hidden="0" customHeight="1">
      <x:c r="A16" s="34" t="n">
        <x:v>13</x:v>
      </x:c>
      <x:c r="B16" s="35" t="str">
        <x:v>KE</x:v>
      </x:c>
      <x:c r="C16" s="35" t="n">
        <x:f>LEN(B16)</x:f>
        <x:v>2</x:v>
      </x:c>
      <x:c r="D16" s="35" t="n">
        <x:v>0</x:v>
      </x:c>
      <x:c r="E16" s="21" t="str">
        <x:v>non-salty</x:v>
      </x:c>
      <x:c r="F16" s="21" t="str">
        <x:v>A2 - electronic-tongue test</x:v>
      </x:c>
      <x:c r="G16" s="21" t="str">
        <x:v>synthetic peptide; electronic-tongue test; 10 mg/mL peptide in 0.03% NaCl system</x:v>
      </x:c>
      <x:c r="H16" s="22" t="str">
        <x:v>10.1016/j.foodres.2024.114966</x:v>
      </x:c>
    </x:row>
    <x:row r="17" ht="15" hidden="0" customHeight="1">
      <x:c r="A17" s="34" t="n">
        <x:v>14</x:v>
      </x:c>
      <x:c r="B17" s="35" t="str">
        <x:v>KEDGK</x:v>
      </x:c>
      <x:c r="C17" s="35" t="n">
        <x:f>LEN(B17)</x:f>
        <x:v>5</x:v>
      </x:c>
      <x:c r="D17" s="35" t="n">
        <x:v>0</x:v>
      </x:c>
      <x:c r="E17" s="21" t="str">
        <x:v>non-salty</x:v>
      </x:c>
      <x:c r="F17" s="21" t="str">
        <x:v>A2 - electronic-tongue test</x:v>
      </x:c>
      <x:c r="G17" s="21" t="str">
        <x:v>synthetic peptide; electronic-tongue test</x:v>
      </x:c>
      <x:c r="H17" s="22" t="str">
        <x:v>10.1016/j.foodchem.2024.139035</x:v>
      </x:c>
    </x:row>
    <x:row r="18" ht="21.600000381469727" hidden="0" customHeight="1">
      <x:c r="A18" s="34" t="n">
        <x:v>15</x:v>
      </x:c>
      <x:c r="B18" s="35" t="str">
        <x:v>KENINELSK</x:v>
      </x:c>
      <x:c r="C18" s="35" t="n">
        <x:f>LEN(B18)</x:f>
        <x:v>9</x:v>
      </x:c>
      <x:c r="D18" s="35" t="n">
        <x:v>0</x:v>
      </x:c>
      <x:c r="E18" s="21" t="str">
        <x:v>umami</x:v>
      </x:c>
      <x:c r="F18" s="21" t="str">
        <x:v>B1 - excluded as salty in the same sensory study</x:v>
      </x:c>
      <x:c r="G18" s="21" t="str">
        <x:v>synthetic peptide; trained 10-member sensory panel; five-taste radar; 2 mg/mL aqueous peptide solution; relaxed negative criterion</x:v>
      </x:c>
      <x:c r="H18" s="22" t="str">
        <x:v>10.1016/j.foodchem.2024.139071</x:v>
      </x:c>
    </x:row>
    <x:row r="19" ht="21.600000381469727" hidden="0" customHeight="1">
      <x:c r="A19" s="34" t="n">
        <x:v>16</x:v>
      </x:c>
      <x:c r="B19" s="35" t="str">
        <x:v>KGD</x:v>
      </x:c>
      <x:c r="C19" s="35" t="n">
        <x:f>LEN(B19)</x:f>
        <x:v>3</x:v>
      </x:c>
      <x:c r="D19" s="35" t="n">
        <x:v>0</x:v>
      </x:c>
      <x:c r="E19" s="21" t="str">
        <x:v>sweet</x:v>
      </x:c>
      <x:c r="F19" s="21" t="str">
        <x:v>A1 - human sensory test</x:v>
      </x:c>
      <x:c r="G19" s="21" t="str">
        <x:v>synthetic peptide; human sensory evaluation; descending concentration series starting at 10 mM</x:v>
      </x:c>
      <x:c r="H19" s="22" t="str">
        <x:v>10.1271/bbb.59.689</x:v>
      </x:c>
    </x:row>
    <x:row r="20" ht="21.600000381469727" hidden="0" customHeight="1">
      <x:c r="A20" s="34" t="n">
        <x:v>17</x:v>
      </x:c>
      <x:c r="B20" s="35" t="str">
        <x:v>LSSPATLNSR</x:v>
      </x:c>
      <x:c r="C20" s="35" t="n">
        <x:f>LEN(B20)</x:f>
        <x:v>10</x:v>
      </x:c>
      <x:c r="D20" s="35" t="n">
        <x:v>0</x:v>
      </x:c>
      <x:c r="E20" s="21" t="str">
        <x:v>non-salty</x:v>
      </x:c>
      <x:c r="F20" s="21" t="str">
        <x:v>B1 - excluded as salty in the same sensory study</x:v>
      </x:c>
      <x:c r="G20" s="21" t="str">
        <x:v>synthetic peptide; trained 10-member sensory panel; five-taste radar; 2 mg/mL aqueous peptide solution; relaxed negative criterion</x:v>
      </x:c>
      <x:c r="H20" s="22" t="str">
        <x:v>10.1016/j.foodchem.2024.139071</x:v>
      </x:c>
    </x:row>
    <x:row r="21" ht="21.600000381469727" hidden="0" customHeight="1">
      <x:c r="A21" s="34" t="n">
        <x:v>18</x:v>
      </x:c>
      <x:c r="B21" s="35" t="str">
        <x:v>PVVSGARRMMVPR</x:v>
      </x:c>
      <x:c r="C21" s="35" t="n">
        <x:f>LEN(B21)</x:f>
        <x:v>13</x:v>
      </x:c>
      <x:c r="D21" s="35" t="n">
        <x:v>0</x:v>
      </x:c>
      <x:c r="E21" s="21" t="str">
        <x:v>weak sour, bitter</x:v>
      </x:c>
      <x:c r="F21" s="21" t="str">
        <x:v>B1 - excluded as salty in the same sensory study</x:v>
      </x:c>
      <x:c r="G21" s="21" t="str">
        <x:v>synthetic peptide; trained 10-member sensory panel; five-taste radar; 2 mg/mL aqueous peptide solution; relaxed negative criterion</x:v>
      </x:c>
      <x:c r="H21" s="22" t="str">
        <x:v>10.1016/j.foodchem.2024.139071</x:v>
      </x:c>
    </x:row>
    <x:row r="22" ht="21.600000381469727" hidden="0" customHeight="1">
      <x:c r="A22" s="34" t="n">
        <x:v>19</x:v>
      </x:c>
      <x:c r="B22" s="35" t="str">
        <x:v>QEQEAKKR</x:v>
      </x:c>
      <x:c r="C22" s="35" t="n">
        <x:f>LEN(B22)</x:f>
        <x:v>8</x:v>
      </x:c>
      <x:c r="D22" s="35" t="n">
        <x:v>0</x:v>
      </x:c>
      <x:c r="E22" s="21" t="str">
        <x:v>umami</x:v>
      </x:c>
      <x:c r="F22" s="21" t="str">
        <x:v>B1 - excluded as salty in the same sensory study</x:v>
      </x:c>
      <x:c r="G22" s="21" t="str">
        <x:v>synthetic peptide; trained 10-member sensory panel; five-taste radar; 2 mg/mL aqueous peptide solution; relaxed negative criterion</x:v>
      </x:c>
      <x:c r="H22" s="22" t="str">
        <x:v>10.1016/j.foodchem.2024.139071</x:v>
      </x:c>
    </x:row>
    <x:row r="23" ht="21.600000381469727" hidden="0" customHeight="1">
      <x:c r="A23" s="34" t="n">
        <x:v>20</x:v>
      </x:c>
      <x:c r="B23" s="35" t="str">
        <x:v>QKLPEKPER</x:v>
      </x:c>
      <x:c r="C23" s="35" t="n">
        <x:f>LEN(B23)</x:f>
        <x:v>9</x:v>
      </x:c>
      <x:c r="D23" s="35" t="n">
        <x:v>0</x:v>
      </x:c>
      <x:c r="E23" s="21" t="str">
        <x:v>umami</x:v>
      </x:c>
      <x:c r="F23" s="21" t="str">
        <x:v>B1 - excluded as salty in the same sensory study</x:v>
      </x:c>
      <x:c r="G23" s="21" t="str">
        <x:v>synthetic peptide; trained 10-member sensory panel; five-taste radar; 2 mg/mL aqueous peptide solution; relaxed negative criterion</x:v>
      </x:c>
      <x:c r="H23" s="22" t="str">
        <x:v>10.1016/j.foodchem.2024.139071</x:v>
      </x:c>
    </x:row>
    <x:row r="24" ht="21.600000381469727" hidden="0" customHeight="1">
      <x:c r="A24" s="34" t="n">
        <x:v>21</x:v>
      </x:c>
      <x:c r="B24" s="35" t="str">
        <x:v>QSWMHQPHQPLPPT</x:v>
      </x:c>
      <x:c r="C24" s="35" t="n">
        <x:f>LEN(B24)</x:f>
        <x:v>14</x:v>
      </x:c>
      <x:c r="D24" s="35" t="n">
        <x:v>0</x:v>
      </x:c>
      <x:c r="E24" s="21" t="str">
        <x:v>umami, sour, bitter, kokumi</x:v>
      </x:c>
      <x:c r="F24" s="21" t="str">
        <x:v>A1 - human sensory test</x:v>
      </x:c>
      <x:c r="G24" s="21" t="str">
        <x:v>synthetic peptide; human sensory evaluation; 3-AFC/TDA threshold determination</x:v>
      </x:c>
      <x:c r="H24" s="22" t="str">
        <x:v>10.26599/fshw.2024.9250377</x:v>
      </x:c>
    </x:row>
    <x:row r="25" ht="15" hidden="0" customHeight="1">
      <x:c r="A25" s="34" t="n">
        <x:v>22</x:v>
      </x:c>
      <x:c r="B25" s="35" t="str">
        <x:v>REE</x:v>
      </x:c>
      <x:c r="C25" s="35" t="n">
        <x:f>LEN(B25)</x:f>
        <x:v>3</x:v>
      </x:c>
      <x:c r="D25" s="35" t="n">
        <x:v>0</x:v>
      </x:c>
      <x:c r="E25" s="21" t="str">
        <x:v>non-salty</x:v>
      </x:c>
      <x:c r="F25" s="21" t="str">
        <x:v>A2 - electronic-tongue test</x:v>
      </x:c>
      <x:c r="G25" s="21" t="str">
        <x:v>synthetic peptide; electronic-tongue test</x:v>
      </x:c>
      <x:c r="H25" s="22" t="str">
        <x:v>10.1016/j.foodchem.2024.139035</x:v>
      </x:c>
    </x:row>
    <x:row r="26" ht="21.600000381469727" hidden="0" customHeight="1">
      <x:c r="A26" s="34" t="n">
        <x:v>23</x:v>
      </x:c>
      <x:c r="B26" s="35" t="str">
        <x:v>SLFPPASEVVK</x:v>
      </x:c>
      <x:c r="C26" s="35" t="n">
        <x:f>LEN(B26)</x:f>
        <x:v>11</x:v>
      </x:c>
      <x:c r="D26" s="35" t="n">
        <x:v>0</x:v>
      </x:c>
      <x:c r="E26" s="21" t="str">
        <x:v>no clear basic taste detected</x:v>
      </x:c>
      <x:c r="F26" s="21" t="str">
        <x:v>B1 - excluded as salty in the same sensory study</x:v>
      </x:c>
      <x:c r="G26" s="21" t="str">
        <x:v>synthetic peptide; trained 10-member sensory panel; five-taste radar; 2 mg/mL aqueous peptide solution; relaxed negative criterion</x:v>
      </x:c>
      <x:c r="H26" s="22" t="str">
        <x:v>10.1016/j.foodchem.2024.139071</x:v>
      </x:c>
    </x:row>
    <x:row r="27" ht="21.600000381469727" hidden="0" customHeight="1">
      <x:c r="A27" s="34" t="n">
        <x:v>24</x:v>
      </x:c>
      <x:c r="B27" s="35" t="str">
        <x:v>VHNEGLPAPIVR</x:v>
      </x:c>
      <x:c r="C27" s="35" t="n">
        <x:f>LEN(B27)</x:f>
        <x:v>12</x:v>
      </x:c>
      <x:c r="D27" s="35" t="n">
        <x:v>0</x:v>
      </x:c>
      <x:c r="E27" s="21" t="str">
        <x:v>weak sour</x:v>
      </x:c>
      <x:c r="F27" s="21" t="str">
        <x:v>B1 - excluded as salty in the same sensory study</x:v>
      </x:c>
      <x:c r="G27" s="21" t="str">
        <x:v>synthetic peptide; trained 10-member sensory panel; five-taste radar; 2 mg/mL aqueous peptide solution; relaxed negative criterion</x:v>
      </x:c>
      <x:c r="H27" s="22" t="str">
        <x:v>10.1016/j.foodchem.2024.139071</x:v>
      </x:c>
    </x:row>
    <x:row r="28" ht="21.600000381469727" hidden="0" customHeight="1">
      <x:c r="A28" s="34" t="n">
        <x:v>25</x:v>
      </x:c>
      <x:c r="B28" s="35" t="str">
        <x:v>VLVLDTDYKK</x:v>
      </x:c>
      <x:c r="C28" s="35" t="n">
        <x:f>LEN(B28)</x:f>
        <x:v>10</x:v>
      </x:c>
      <x:c r="D28" s="35" t="n">
        <x:v>0</x:v>
      </x:c>
      <x:c r="E28" s="21" t="str">
        <x:v>umami</x:v>
      </x:c>
      <x:c r="F28" s="21" t="str">
        <x:v>B1 - excluded as salty in the same sensory study</x:v>
      </x:c>
      <x:c r="G28" s="21" t="str">
        <x:v>synthetic peptide; trained 10-member sensory panel; five-taste radar; 2 mg/mL aqueous peptide solution; relaxed negative criterion</x:v>
      </x:c>
      <x:c r="H28" s="22" t="str">
        <x:v>10.1016/j.foodchem.2024.139071</x:v>
      </x:c>
    </x:row>
    <x:row r="29" ht="21.600000381469727" hidden="0" customHeight="1">
      <x:c r="A29" s="34" t="n">
        <x:v>26</x:v>
      </x:c>
      <x:c r="B29" s="35" t="str">
        <x:v>VMFPPQ</x:v>
      </x:c>
      <x:c r="C29" s="35" t="n">
        <x:f>LEN(B29)</x:f>
        <x:v>6</x:v>
      </x:c>
      <x:c r="D29" s="35" t="n">
        <x:v>0</x:v>
      </x:c>
      <x:c r="E29" s="21" t="str">
        <x:v>umami, bitter, kokumi</x:v>
      </x:c>
      <x:c r="F29" s="21" t="str">
        <x:v>A1 - human sensory test</x:v>
      </x:c>
      <x:c r="G29" s="21" t="str">
        <x:v>synthetic peptide; human sensory evaluation; 3-AFC/TDA threshold determination</x:v>
      </x:c>
      <x:c r="H29" s="22" t="str">
        <x:v>10.26599/fshw.2024.9250377</x:v>
      </x:c>
    </x:row>
    <x:row r="30" ht="21.600000381469727" hidden="0" customHeight="1">
      <x:c r="A30" s="34" t="n">
        <x:v>27</x:v>
      </x:c>
      <x:c r="B30" s="35" t="str">
        <x:v>YPFPGPIH</x:v>
      </x:c>
      <x:c r="C30" s="35" t="n">
        <x:f>LEN(B30)</x:f>
        <x:v>8</x:v>
      </x:c>
      <x:c r="D30" s="35" t="n">
        <x:v>0</x:v>
      </x:c>
      <x:c r="E30" s="21" t="str">
        <x:v>bitter</x:v>
      </x:c>
      <x:c r="F30" s="21" t="str">
        <x:v>A1 - human sensory test</x:v>
      </x:c>
      <x:c r="G30" s="21" t="str">
        <x:v>synthetic peptide; human sensory evaluation; 3-AFC/TDA threshold determination</x:v>
      </x:c>
      <x:c r="H30" s="22" t="str">
        <x:v>10.26599/fshw.2024.9250377</x:v>
      </x:c>
    </x:row>
    <x:row r="31" ht="21.600000381469727" hidden="0" customHeight="1">
      <x:c r="A31" s="34" t="n">
        <x:v>28</x:v>
      </x:c>
      <x:c r="B31" s="35" t="str">
        <x:v>EI</x:v>
      </x:c>
      <x:c r="C31" s="35" t="n">
        <x:f>LEN(B31)</x:f>
        <x:v>2</x:v>
      </x:c>
      <x:c r="D31" s="35" t="n">
        <x:v>0</x:v>
      </x:c>
      <x:c r="E31" s="21" t="str">
        <x:v>bitter</x:v>
      </x:c>
      <x:c r="F31" s="21" t="str">
        <x:v>D - database non-salty annotation</x:v>
      </x:c>
      <x:c r="G31" s="21" t="str">
        <x:v>database annotation compilation (BIOPEP-UWM; TastePeptidesDB); source test conditions not verified row by row</x:v>
      </x:c>
      <x:c r="H31" s="22" t="str">
        <x:v>BIOPEP-UWM; TastePeptidesDB</x:v>
      </x:c>
    </x:row>
    <x:row r="32" ht="21.600000381469727" hidden="0" customHeight="1">
      <x:c r="A32" s="34" t="n">
        <x:v>29</x:v>
      </x:c>
      <x:c r="B32" s="35" t="str">
        <x:v>FL</x:v>
      </x:c>
      <x:c r="C32" s="35" t="n">
        <x:f>LEN(B32)</x:f>
        <x:v>2</x:v>
      </x:c>
      <x:c r="D32" s="35" t="n">
        <x:v>0</x:v>
      </x:c>
      <x:c r="E32" s="21" t="str">
        <x:v>bitter</x:v>
      </x:c>
      <x:c r="F32" s="21" t="str">
        <x:v>D - database non-salty annotation</x:v>
      </x:c>
      <x:c r="G32" s="21" t="str">
        <x:v>database annotation compilation (BIOPEP-UWM; TastePeptidesDB); source test conditions not verified row by row</x:v>
      </x:c>
      <x:c r="H32" s="22" t="str">
        <x:v>BIOPEP-UWM; TastePeptidesDB</x:v>
      </x:c>
    </x:row>
    <x:row r="33" ht="21.600000381469727" hidden="0" customHeight="1">
      <x:c r="A33" s="34" t="n">
        <x:v>30</x:v>
      </x:c>
      <x:c r="B33" s="35" t="str">
        <x:v>FP</x:v>
      </x:c>
      <x:c r="C33" s="35" t="n">
        <x:f>LEN(B33)</x:f>
        <x:v>2</x:v>
      </x:c>
      <x:c r="D33" s="35" t="n">
        <x:v>0</x:v>
      </x:c>
      <x:c r="E33" s="21" t="str">
        <x:v>bitter</x:v>
      </x:c>
      <x:c r="F33" s="21" t="str">
        <x:v>D - database non-salty annotation</x:v>
      </x:c>
      <x:c r="G33" s="21" t="str">
        <x:v>database annotation compilation (BIOPEP-UWM; TastePeptidesDB); source test conditions not verified row by row</x:v>
      </x:c>
      <x:c r="H33" s="22" t="str">
        <x:v>BIOPEP-UWM; TastePeptidesDB</x:v>
      </x:c>
    </x:row>
    <x:row r="34" ht="21.600000381469727" hidden="0" customHeight="1">
      <x:c r="A34" s="34" t="n">
        <x:v>31</x:v>
      </x:c>
      <x:c r="B34" s="35" t="str">
        <x:v>FW</x:v>
      </x:c>
      <x:c r="C34" s="35" t="n">
        <x:f>LEN(B34)</x:f>
        <x:v>2</x:v>
      </x:c>
      <x:c r="D34" s="35" t="n">
        <x:v>0</x:v>
      </x:c>
      <x:c r="E34" s="21" t="str">
        <x:v>bitter</x:v>
      </x:c>
      <x:c r="F34" s="21" t="str">
        <x:v>D - database non-salty annotation</x:v>
      </x:c>
      <x:c r="G34" s="21" t="str">
        <x:v>database annotation compilation (BIOPEP-UWM; TastePeptidesDB); source test conditions not verified row by row</x:v>
      </x:c>
      <x:c r="H34" s="22" t="str">
        <x:v>BIOPEP-UWM; TastePeptidesDB</x:v>
      </x:c>
    </x:row>
    <x:row r="35" ht="21.600000381469727" hidden="0" customHeight="1">
      <x:c r="A35" s="34" t="n">
        <x:v>32</x:v>
      </x:c>
      <x:c r="B35" s="35" t="str">
        <x:v>FY</x:v>
      </x:c>
      <x:c r="C35" s="35" t="n">
        <x:f>LEN(B35)</x:f>
        <x:v>2</x:v>
      </x:c>
      <x:c r="D35" s="35" t="n">
        <x:v>0</x:v>
      </x:c>
      <x:c r="E35" s="21" t="str">
        <x:v>bitter</x:v>
      </x:c>
      <x:c r="F35" s="21" t="str">
        <x:v>D - database non-salty annotation</x:v>
      </x:c>
      <x:c r="G35" s="21" t="str">
        <x:v>database annotation compilation (BIOPEP-UWM; TastePeptidesDB); source test conditions not verified row by row</x:v>
      </x:c>
      <x:c r="H35" s="22" t="str">
        <x:v>BIOPEP-UWM; TastePeptidesDB</x:v>
      </x:c>
    </x:row>
    <x:row r="36" ht="21.600000381469727" hidden="0" customHeight="1">
      <x:c r="A36" s="34" t="n">
        <x:v>33</x:v>
      </x:c>
      <x:c r="B36" s="35" t="str">
        <x:v>GF</x:v>
      </x:c>
      <x:c r="C36" s="35" t="n">
        <x:f>LEN(B36)</x:f>
        <x:v>2</x:v>
      </x:c>
      <x:c r="D36" s="35" t="n">
        <x:v>0</x:v>
      </x:c>
      <x:c r="E36" s="21" t="str">
        <x:v>bitter</x:v>
      </x:c>
      <x:c r="F36" s="21" t="str">
        <x:v>D - database non-salty annotation</x:v>
      </x:c>
      <x:c r="G36" s="21" t="str">
        <x:v>database annotation compilation (BIOPEP-UWM; TastePeptidesDB); source test conditions not verified row by row</x:v>
      </x:c>
      <x:c r="H36" s="22" t="str">
        <x:v>BIOPEP-UWM; TastePeptidesDB</x:v>
      </x:c>
    </x:row>
    <x:row r="37" ht="21.600000381469727" hidden="0" customHeight="1">
      <x:c r="A37" s="34" t="n">
        <x:v>34</x:v>
      </x:c>
      <x:c r="B37" s="35" t="str">
        <x:v>GL</x:v>
      </x:c>
      <x:c r="C37" s="35" t="n">
        <x:f>LEN(B37)</x:f>
        <x:v>2</x:v>
      </x:c>
      <x:c r="D37" s="35" t="n">
        <x:v>0</x:v>
      </x:c>
      <x:c r="E37" s="21" t="str">
        <x:v>bitter</x:v>
      </x:c>
      <x:c r="F37" s="21" t="str">
        <x:v>D - database non-salty annotation</x:v>
      </x:c>
      <x:c r="G37" s="21" t="str">
        <x:v>database annotation compilation (BIOPEP-UWM; TastePeptidesDB); source test conditions not verified row by row</x:v>
      </x:c>
      <x:c r="H37" s="22" t="str">
        <x:v>BIOPEP-UWM; TastePeptidesDB</x:v>
      </x:c>
    </x:row>
    <x:row r="38" ht="21.600000381469727" hidden="0" customHeight="1">
      <x:c r="A38" s="34" t="n">
        <x:v>35</x:v>
      </x:c>
      <x:c r="B38" s="35" t="str">
        <x:v>WW</x:v>
      </x:c>
      <x:c r="C38" s="35" t="n">
        <x:f>LEN(B38)</x:f>
        <x:v>2</x:v>
      </x:c>
      <x:c r="D38" s="35" t="n">
        <x:v>0</x:v>
      </x:c>
      <x:c r="E38" s="21" t="str">
        <x:v>bitter</x:v>
      </x:c>
      <x:c r="F38" s="21" t="str">
        <x:v>D - database non-salty annotation</x:v>
      </x:c>
      <x:c r="G38" s="21" t="str">
        <x:v>database annotation compilation (BIOPEP-UWM; TastePeptidesDB); source test conditions not verified row by row</x:v>
      </x:c>
      <x:c r="H38" s="22" t="str">
        <x:v>BIOPEP-UWM; TastePeptidesDB</x:v>
      </x:c>
    </x:row>
    <x:row r="39" ht="21.600000381469727" hidden="0" customHeight="1">
      <x:c r="A39" s="34" t="n">
        <x:v>36</x:v>
      </x:c>
      <x:c r="B39" s="35" t="str">
        <x:v>YL</x:v>
      </x:c>
      <x:c r="C39" s="35" t="n">
        <x:f>LEN(B39)</x:f>
        <x:v>2</x:v>
      </x:c>
      <x:c r="D39" s="35" t="n">
        <x:v>0</x:v>
      </x:c>
      <x:c r="E39" s="21" t="str">
        <x:v>bitter</x:v>
      </x:c>
      <x:c r="F39" s="21" t="str">
        <x:v>D - database non-salty annotation</x:v>
      </x:c>
      <x:c r="G39" s="21" t="str">
        <x:v>database annotation compilation (BIOPEP-UWM; TastePeptidesDB); source test conditions not verified row by row</x:v>
      </x:c>
      <x:c r="H39" s="22" t="str">
        <x:v>BIOPEP-UWM; TastePeptidesDB</x:v>
      </x:c>
    </x:row>
    <x:row r="40" ht="21.600000381469727" hidden="0" customHeight="1">
      <x:c r="A40" s="34" t="n">
        <x:v>37</x:v>
      </x:c>
      <x:c r="B40" s="35" t="str">
        <x:v>FFF</x:v>
      </x:c>
      <x:c r="C40" s="35" t="n">
        <x:f>LEN(B40)</x:f>
        <x:v>3</x:v>
      </x:c>
      <x:c r="D40" s="35" t="n">
        <x:v>0</x:v>
      </x:c>
      <x:c r="E40" s="21" t="str">
        <x:v>bitter</x:v>
      </x:c>
      <x:c r="F40" s="21" t="str">
        <x:v>D - database non-salty annotation</x:v>
      </x:c>
      <x:c r="G40" s="21" t="str">
        <x:v>database annotation compilation (BIOPEP-UWM; TastePeptidesDB); source test conditions not verified row by row</x:v>
      </x:c>
      <x:c r="H40" s="22" t="str">
        <x:v>BIOPEP-UWM; TastePeptidesDB</x:v>
      </x:c>
    </x:row>
    <x:row r="41" ht="21.600000381469727" hidden="0" customHeight="1">
      <x:c r="A41" s="34" t="n">
        <x:v>38</x:v>
      </x:c>
      <x:c r="B41" s="35" t="str">
        <x:v>FPP</x:v>
      </x:c>
      <x:c r="C41" s="35" t="n">
        <x:f>LEN(B41)</x:f>
        <x:v>3</x:v>
      </x:c>
      <x:c r="D41" s="35" t="n">
        <x:v>0</x:v>
      </x:c>
      <x:c r="E41" s="21" t="str">
        <x:v>bitter</x:v>
      </x:c>
      <x:c r="F41" s="21" t="str">
        <x:v>D - database non-salty annotation</x:v>
      </x:c>
      <x:c r="G41" s="21" t="str">
        <x:v>database annotation compilation (BIOPEP-UWM; TastePeptidesDB); source test conditions not verified row by row</x:v>
      </x:c>
      <x:c r="H41" s="22" t="str">
        <x:v>BIOPEP-UWM; TastePeptidesDB</x:v>
      </x:c>
    </x:row>
    <x:row r="42" ht="21.600000381469727" hidden="0" customHeight="1">
      <x:c r="A42" s="34" t="n">
        <x:v>39</x:v>
      </x:c>
      <x:c r="B42" s="35" t="str">
        <x:v>GFF</x:v>
      </x:c>
      <x:c r="C42" s="35" t="n">
        <x:f>LEN(B42)</x:f>
        <x:v>3</x:v>
      </x:c>
      <x:c r="D42" s="35" t="n">
        <x:v>0</x:v>
      </x:c>
      <x:c r="E42" s="21" t="str">
        <x:v>bitter</x:v>
      </x:c>
      <x:c r="F42" s="21" t="str">
        <x:v>D - database non-salty annotation</x:v>
      </x:c>
      <x:c r="G42" s="21" t="str">
        <x:v>database annotation compilation (BIOPEP-UWM; TastePeptidesDB); source test conditions not verified row by row</x:v>
      </x:c>
      <x:c r="H42" s="22" t="str">
        <x:v>BIOPEP-UWM; TastePeptidesDB</x:v>
      </x:c>
    </x:row>
    <x:row r="43" ht="21.600000381469727" hidden="0" customHeight="1">
      <x:c r="A43" s="34" t="n">
        <x:v>40</x:v>
      </x:c>
      <x:c r="B43" s="35" t="str">
        <x:v>GGV</x:v>
      </x:c>
      <x:c r="C43" s="35" t="n">
        <x:f>LEN(B43)</x:f>
        <x:v>3</x:v>
      </x:c>
      <x:c r="D43" s="35" t="n">
        <x:v>0</x:v>
      </x:c>
      <x:c r="E43" s="21" t="str">
        <x:v>bitter</x:v>
      </x:c>
      <x:c r="F43" s="21" t="str">
        <x:v>D - database non-salty annotation</x:v>
      </x:c>
      <x:c r="G43" s="21" t="str">
        <x:v>database annotation compilation (BIOPEP-UWM; TastePeptidesDB); source test conditions not verified row by row</x:v>
      </x:c>
      <x:c r="H43" s="22" t="str">
        <x:v>BIOPEP-UWM; TastePeptidesDB</x:v>
      </x:c>
    </x:row>
    <x:row r="44" ht="21.600000381469727" hidden="0" customHeight="1">
      <x:c r="A44" s="34" t="n">
        <x:v>41</x:v>
      </x:c>
      <x:c r="B44" s="35" t="str">
        <x:v>RRR</x:v>
      </x:c>
      <x:c r="C44" s="35" t="n">
        <x:f>LEN(B44)</x:f>
        <x:v>3</x:v>
      </x:c>
      <x:c r="D44" s="35" t="n">
        <x:v>0</x:v>
      </x:c>
      <x:c r="E44" s="21" t="str">
        <x:v>bitter</x:v>
      </x:c>
      <x:c r="F44" s="21" t="str">
        <x:v>D - database non-salty annotation</x:v>
      </x:c>
      <x:c r="G44" s="21" t="str">
        <x:v>database annotation compilation (BIOPEP-UWM; TastePeptidesDB); source test conditions not verified row by row</x:v>
      </x:c>
      <x:c r="H44" s="22" t="str">
        <x:v>BIOPEP-UWM; TastePeptidesDB</x:v>
      </x:c>
    </x:row>
    <x:row r="45" ht="21.600000381469727" hidden="0" customHeight="1">
      <x:c r="A45" s="34" t="n">
        <x:v>42</x:v>
      </x:c>
      <x:c r="B45" s="35" t="str">
        <x:v>VVV</x:v>
      </x:c>
      <x:c r="C45" s="35" t="n">
        <x:f>LEN(B45)</x:f>
        <x:v>3</x:v>
      </x:c>
      <x:c r="D45" s="35" t="n">
        <x:v>0</x:v>
      </x:c>
      <x:c r="E45" s="21" t="str">
        <x:v>bitter</x:v>
      </x:c>
      <x:c r="F45" s="21" t="str">
        <x:v>D - database non-salty annotation</x:v>
      </x:c>
      <x:c r="G45" s="21" t="str">
        <x:v>database annotation compilation (BIOPEP-UWM; TastePeptidesDB); source test conditions not verified row by row</x:v>
      </x:c>
      <x:c r="H45" s="22" t="str">
        <x:v>BIOPEP-UWM; TastePeptidesDB</x:v>
      </x:c>
    </x:row>
    <x:row r="46" ht="21.600000381469727" hidden="0" customHeight="1">
      <x:c r="A46" s="34" t="n">
        <x:v>43</x:v>
      </x:c>
      <x:c r="B46" s="35" t="str">
        <x:v>FFGG</x:v>
      </x:c>
      <x:c r="C46" s="35" t="n">
        <x:f>LEN(B46)</x:f>
        <x:v>4</x:v>
      </x:c>
      <x:c r="D46" s="35" t="n">
        <x:v>0</x:v>
      </x:c>
      <x:c r="E46" s="21" t="str">
        <x:v>bitter</x:v>
      </x:c>
      <x:c r="F46" s="21" t="str">
        <x:v>D - database non-salty annotation</x:v>
      </x:c>
      <x:c r="G46" s="21" t="str">
        <x:v>database annotation compilation (BIOPEP-UWM; TastePeptidesDB); source test conditions not verified row by row</x:v>
      </x:c>
      <x:c r="H46" s="22" t="str">
        <x:v>BIOPEP-UWM; TastePeptidesDB</x:v>
      </x:c>
    </x:row>
    <x:row r="47" ht="21.600000381469727" hidden="0" customHeight="1">
      <x:c r="A47" s="34" t="n">
        <x:v>44</x:v>
      </x:c>
      <x:c r="B47" s="35" t="str">
        <x:v>FFPE</x:v>
      </x:c>
      <x:c r="C47" s="35" t="n">
        <x:f>LEN(B47)</x:f>
        <x:v>4</x:v>
      </x:c>
      <x:c r="D47" s="35" t="n">
        <x:v>0</x:v>
      </x:c>
      <x:c r="E47" s="21" t="str">
        <x:v>bitter</x:v>
      </x:c>
      <x:c r="F47" s="21" t="str">
        <x:v>D - database non-salty annotation</x:v>
      </x:c>
      <x:c r="G47" s="21" t="str">
        <x:v>database annotation compilation (BIOPEP-UWM; TastePeptidesDB); source test conditions not verified row by row</x:v>
      </x:c>
      <x:c r="H47" s="22" t="str">
        <x:v>BIOPEP-UWM; TastePeptidesDB</x:v>
      </x:c>
    </x:row>
    <x:row r="48" ht="21.600000381469727" hidden="0" customHeight="1">
      <x:c r="A48" s="34" t="n">
        <x:v>45</x:v>
      </x:c>
      <x:c r="B48" s="35" t="str">
        <x:v>FFPG</x:v>
      </x:c>
      <x:c r="C48" s="35" t="n">
        <x:f>LEN(B48)</x:f>
        <x:v>4</x:v>
      </x:c>
      <x:c r="D48" s="35" t="n">
        <x:v>0</x:v>
      </x:c>
      <x:c r="E48" s="21" t="str">
        <x:v>bitter</x:v>
      </x:c>
      <x:c r="F48" s="21" t="str">
        <x:v>D - database non-salty annotation</x:v>
      </x:c>
      <x:c r="G48" s="21" t="str">
        <x:v>database annotation compilation (BIOPEP-UWM; TastePeptidesDB); source test conditions not verified row by row</x:v>
      </x:c>
      <x:c r="H48" s="22" t="str">
        <x:v>BIOPEP-UWM; TastePeptidesDB</x:v>
      </x:c>
    </x:row>
    <x:row r="49" ht="21.600000381469727" hidden="0" customHeight="1">
      <x:c r="A49" s="34" t="n">
        <x:v>46</x:v>
      </x:c>
      <x:c r="B49" s="35" t="str">
        <x:v>FGFG</x:v>
      </x:c>
      <x:c r="C49" s="35" t="n">
        <x:f>LEN(B49)</x:f>
        <x:v>4</x:v>
      </x:c>
      <x:c r="D49" s="35" t="n">
        <x:v>0</x:v>
      </x:c>
      <x:c r="E49" s="21" t="str">
        <x:v>bitter</x:v>
      </x:c>
      <x:c r="F49" s="21" t="str">
        <x:v>D - database non-salty annotation</x:v>
      </x:c>
      <x:c r="G49" s="21" t="str">
        <x:v>database annotation compilation (BIOPEP-UWM; TastePeptidesDB); source test conditions not verified row by row</x:v>
      </x:c>
      <x:c r="H49" s="22" t="str">
        <x:v>BIOPEP-UWM; TastePeptidesDB</x:v>
      </x:c>
    </x:row>
    <x:row r="50" ht="21.600000381469727" hidden="0" customHeight="1">
      <x:c r="A50" s="34" t="n">
        <x:v>47</x:v>
      </x:c>
      <x:c r="B50" s="35" t="str">
        <x:v>GPFP</x:v>
      </x:c>
      <x:c r="C50" s="35" t="n">
        <x:f>LEN(B50)</x:f>
        <x:v>4</x:v>
      </x:c>
      <x:c r="D50" s="35" t="n">
        <x:v>0</x:v>
      </x:c>
      <x:c r="E50" s="21" t="str">
        <x:v>bitter</x:v>
      </x:c>
      <x:c r="F50" s="21" t="str">
        <x:v>D - database non-salty annotation</x:v>
      </x:c>
      <x:c r="G50" s="21" t="str">
        <x:v>database annotation compilation (BIOPEP-UWM; TastePeptidesDB); source test conditions not verified row by row</x:v>
      </x:c>
      <x:c r="H50" s="22" t="str">
        <x:v>BIOPEP-UWM; TastePeptidesDB</x:v>
      </x:c>
    </x:row>
    <x:row r="51" ht="21.600000381469727" hidden="0" customHeight="1">
      <x:c r="A51" s="34" t="n">
        <x:v>48</x:v>
      </x:c>
      <x:c r="B51" s="35" t="str">
        <x:v>VYPF</x:v>
      </x:c>
      <x:c r="C51" s="35" t="n">
        <x:f>LEN(B51)</x:f>
        <x:v>4</x:v>
      </x:c>
      <x:c r="D51" s="35" t="n">
        <x:v>0</x:v>
      </x:c>
      <x:c r="E51" s="21" t="str">
        <x:v>bitter</x:v>
      </x:c>
      <x:c r="F51" s="21" t="str">
        <x:v>D - database non-salty annotation</x:v>
      </x:c>
      <x:c r="G51" s="21" t="str">
        <x:v>database annotation compilation (BIOPEP-UWM; TastePeptidesDB); source test conditions not verified row by row</x:v>
      </x:c>
      <x:c r="H51" s="22" t="str">
        <x:v>BIOPEP-UWM; TastePeptidesDB</x:v>
      </x:c>
    </x:row>
    <x:row r="52" ht="21.600000381469727" hidden="0" customHeight="1">
      <x:c r="A52" s="34" t="n">
        <x:v>49</x:v>
      </x:c>
      <x:c r="B52" s="35" t="str">
        <x:v>YGLF</x:v>
      </x:c>
      <x:c r="C52" s="35" t="n">
        <x:f>LEN(B52)</x:f>
        <x:v>4</x:v>
      </x:c>
      <x:c r="D52" s="35" t="n">
        <x:v>0</x:v>
      </x:c>
      <x:c r="E52" s="21" t="str">
        <x:v>bitter</x:v>
      </x:c>
      <x:c r="F52" s="21" t="str">
        <x:v>D - database non-salty annotation</x:v>
      </x:c>
      <x:c r="G52" s="21" t="str">
        <x:v>database annotation compilation (BIOPEP-UWM; TastePeptidesDB); source test conditions not verified row by row</x:v>
      </x:c>
      <x:c r="H52" s="22" t="str">
        <x:v>BIOPEP-UWM; TastePeptidesDB</x:v>
      </x:c>
    </x:row>
    <x:row r="53" ht="21.600000381469727" hidden="0" customHeight="1">
      <x:c r="A53" s="34" t="n">
        <x:v>50</x:v>
      </x:c>
      <x:c r="B53" s="35" t="str">
        <x:v>FFPGG</x:v>
      </x:c>
      <x:c r="C53" s="35" t="n">
        <x:f>LEN(B53)</x:f>
        <x:v>5</x:v>
      </x:c>
      <x:c r="D53" s="35" t="n">
        <x:v>0</x:v>
      </x:c>
      <x:c r="E53" s="21" t="str">
        <x:v>bitter</x:v>
      </x:c>
      <x:c r="F53" s="21" t="str">
        <x:v>D - database non-salty annotation</x:v>
      </x:c>
      <x:c r="G53" s="21" t="str">
        <x:v>database annotation compilation (BIOPEP-UWM; TastePeptidesDB); source test conditions not verified row by row</x:v>
      </x:c>
      <x:c r="H53" s="22" t="str">
        <x:v>BIOPEP-UWM; TastePeptidesDB</x:v>
      </x:c>
    </x:row>
    <x:row r="54" ht="21.600000381469727" hidden="0" customHeight="1">
      <x:c r="A54" s="34" t="n">
        <x:v>51</x:v>
      </x:c>
      <x:c r="B54" s="35" t="str">
        <x:v>GGGGL</x:v>
      </x:c>
      <x:c r="C54" s="35" t="n">
        <x:f>LEN(B54)</x:f>
        <x:v>5</x:v>
      </x:c>
      <x:c r="D54" s="35" t="n">
        <x:v>0</x:v>
      </x:c>
      <x:c r="E54" s="21" t="str">
        <x:v>bitter</x:v>
      </x:c>
      <x:c r="F54" s="21" t="str">
        <x:v>D - database non-salty annotation</x:v>
      </x:c>
      <x:c r="G54" s="21" t="str">
        <x:v>database annotation compilation (BIOPEP-UWM; TastePeptidesDB); source test conditions not verified row by row</x:v>
      </x:c>
      <x:c r="H54" s="22" t="str">
        <x:v>BIOPEP-UWM; TastePeptidesDB</x:v>
      </x:c>
    </x:row>
    <x:row r="55" ht="21.600000381469727" hidden="0" customHeight="1">
      <x:c r="A55" s="34" t="n">
        <x:v>52</x:v>
      </x:c>
      <x:c r="B55" s="35" t="str">
        <x:v>GGGLG</x:v>
      </x:c>
      <x:c r="C55" s="35" t="n">
        <x:f>LEN(B55)</x:f>
        <x:v>5</x:v>
      </x:c>
      <x:c r="D55" s="35" t="n">
        <x:v>0</x:v>
      </x:c>
      <x:c r="E55" s="21" t="str">
        <x:v>bitter</x:v>
      </x:c>
      <x:c r="F55" s="21" t="str">
        <x:v>D - database non-salty annotation</x:v>
      </x:c>
      <x:c r="G55" s="21" t="str">
        <x:v>database annotation compilation (BIOPEP-UWM; TastePeptidesDB); source test conditions not verified row by row</x:v>
      </x:c>
      <x:c r="H55" s="22" t="str">
        <x:v>BIOPEP-UWM; TastePeptidesDB</x:v>
      </x:c>
    </x:row>
    <x:row r="56" ht="21.600000381469727" hidden="0" customHeight="1">
      <x:c r="A56" s="34" t="n">
        <x:v>53</x:v>
      </x:c>
      <x:c r="B56" s="35" t="str">
        <x:v>GGLGG</x:v>
      </x:c>
      <x:c r="C56" s="35" t="n">
        <x:f>LEN(B56)</x:f>
        <x:v>5</x:v>
      </x:c>
      <x:c r="D56" s="35" t="n">
        <x:v>0</x:v>
      </x:c>
      <x:c r="E56" s="21" t="str">
        <x:v>bitter</x:v>
      </x:c>
      <x:c r="F56" s="21" t="str">
        <x:v>D - database non-salty annotation</x:v>
      </x:c>
      <x:c r="G56" s="21" t="str">
        <x:v>database annotation compilation (BIOPEP-UWM; TastePeptidesDB); source test conditions not verified row by row</x:v>
      </x:c>
      <x:c r="H56" s="22" t="str">
        <x:v>BIOPEP-UWM; TastePeptidesDB</x:v>
      </x:c>
    </x:row>
    <x:row r="57" ht="21.600000381469727" hidden="0" customHeight="1">
      <x:c r="A57" s="34" t="n">
        <x:v>54</x:v>
      </x:c>
      <x:c r="B57" s="35" t="str">
        <x:v>VPPFL</x:v>
      </x:c>
      <x:c r="C57" s="35" t="n">
        <x:f>LEN(B57)</x:f>
        <x:v>5</x:v>
      </x:c>
      <x:c r="D57" s="35" t="n">
        <x:v>0</x:v>
      </x:c>
      <x:c r="E57" s="21" t="str">
        <x:v>bitter</x:v>
      </x:c>
      <x:c r="F57" s="21" t="str">
        <x:v>D - database non-salty annotation</x:v>
      </x:c>
      <x:c r="G57" s="21" t="str">
        <x:v>database annotation compilation (BIOPEP-UWM; TastePeptidesDB); source test conditions not verified row by row</x:v>
      </x:c>
      <x:c r="H57" s="22" t="str">
        <x:v>BIOPEP-UWM; TastePeptidesDB</x:v>
      </x:c>
    </x:row>
    <x:row r="58" ht="21.600000381469727" hidden="0" customHeight="1">
      <x:c r="A58" s="34" t="n">
        <x:v>55</x:v>
      </x:c>
      <x:c r="B58" s="35" t="str">
        <x:v>PVLGPV</x:v>
      </x:c>
      <x:c r="C58" s="35" t="n">
        <x:f>LEN(B58)</x:f>
        <x:v>6</x:v>
      </x:c>
      <x:c r="D58" s="35" t="n">
        <x:v>0</x:v>
      </x:c>
      <x:c r="E58" s="21" t="str">
        <x:v>bitter</x:v>
      </x:c>
      <x:c r="F58" s="21" t="str">
        <x:v>D - database non-salty annotation</x:v>
      </x:c>
      <x:c r="G58" s="21" t="str">
        <x:v>database annotation compilation (BIOPEP-UWM; TastePeptidesDB); source test conditions not verified row by row</x:v>
      </x:c>
      <x:c r="H58" s="22" t="str">
        <x:v>BIOPEP-UWM; TastePeptidesDB</x:v>
      </x:c>
    </x:row>
    <x:row r="59" ht="21.600000381469727" hidden="0" customHeight="1">
      <x:c r="A59" s="34" t="n">
        <x:v>56</x:v>
      </x:c>
      <x:c r="B59" s="35" t="str">
        <x:v>QLFNPS</x:v>
      </x:c>
      <x:c r="C59" s="35" t="n">
        <x:f>LEN(B59)</x:f>
        <x:v>6</x:v>
      </x:c>
      <x:c r="D59" s="35" t="n">
        <x:v>0</x:v>
      </x:c>
      <x:c r="E59" s="21" t="str">
        <x:v>bitter</x:v>
      </x:c>
      <x:c r="F59" s="21" t="str">
        <x:v>D - database non-salty annotation</x:v>
      </x:c>
      <x:c r="G59" s="21" t="str">
        <x:v>database annotation compilation (BIOPEP-UWM; TastePeptidesDB); source test conditions not verified row by row</x:v>
      </x:c>
      <x:c r="H59" s="22" t="str">
        <x:v>BIOPEP-UWM; TastePeptidesDB</x:v>
      </x:c>
    </x:row>
    <x:row r="60" ht="21.600000381469727" hidden="0" customHeight="1">
      <x:c r="A60" s="34" t="n">
        <x:v>57</x:v>
      </x:c>
      <x:c r="B60" s="35" t="str">
        <x:v>RGPPFI</x:v>
      </x:c>
      <x:c r="C60" s="35" t="n">
        <x:f>LEN(B60)</x:f>
        <x:v>6</x:v>
      </x:c>
      <x:c r="D60" s="35" t="n">
        <x:v>0</x:v>
      </x:c>
      <x:c r="E60" s="21" t="str">
        <x:v>bitter</x:v>
      </x:c>
      <x:c r="F60" s="21" t="str">
        <x:v>D - database non-salty annotation</x:v>
      </x:c>
      <x:c r="G60" s="21" t="str">
        <x:v>database annotation compilation (BIOPEP-UWM; TastePeptidesDB); source test conditions not verified row by row</x:v>
      </x:c>
      <x:c r="H60" s="22" t="str">
        <x:v>BIOPEP-UWM; TastePeptidesDB</x:v>
      </x:c>
    </x:row>
    <x:row r="61" ht="21.600000381469727" hidden="0" customHeight="1">
      <x:c r="A61" s="34" t="n">
        <x:v>58</x:v>
      </x:c>
      <x:c r="B61" s="35" t="str">
        <x:v>VRGPFP</x:v>
      </x:c>
      <x:c r="C61" s="35" t="n">
        <x:f>LEN(B61)</x:f>
        <x:v>6</x:v>
      </x:c>
      <x:c r="D61" s="35" t="n">
        <x:v>0</x:v>
      </x:c>
      <x:c r="E61" s="21" t="str">
        <x:v>bitter</x:v>
      </x:c>
      <x:c r="F61" s="21" t="str">
        <x:v>D - database non-salty annotation</x:v>
      </x:c>
      <x:c r="G61" s="21" t="str">
        <x:v>database annotation compilation (BIOPEP-UWM; TastePeptidesDB); source test conditions not verified row by row</x:v>
      </x:c>
      <x:c r="H61" s="22" t="str">
        <x:v>BIOPEP-UWM; TastePeptidesDB</x:v>
      </x:c>
    </x:row>
    <x:row r="62" ht="21.600000381469727" hidden="0" customHeight="1">
      <x:c r="A62" s="34" t="n">
        <x:v>59</x:v>
      </x:c>
      <x:c r="B62" s="35" t="str">
        <x:v>RGPPFGG</x:v>
      </x:c>
      <x:c r="C62" s="35" t="n">
        <x:f>LEN(B62)</x:f>
        <x:v>7</x:v>
      </x:c>
      <x:c r="D62" s="35" t="n">
        <x:v>0</x:v>
      </x:c>
      <x:c r="E62" s="21" t="str">
        <x:v>bitter</x:v>
      </x:c>
      <x:c r="F62" s="21" t="str">
        <x:v>D - database non-salty annotation</x:v>
      </x:c>
      <x:c r="G62" s="21" t="str">
        <x:v>database annotation compilation (BIOPEP-UWM; TastePeptidesDB); source test conditions not verified row by row</x:v>
      </x:c>
      <x:c r="H62" s="22" t="str">
        <x:v>BIOPEP-UWM; TastePeptidesDB</x:v>
      </x:c>
    </x:row>
    <x:row r="63" ht="21.600000381469727" hidden="0" customHeight="1">
      <x:c r="A63" s="34" t="n">
        <x:v>60</x:v>
      </x:c>
      <x:c r="B63" s="35" t="str">
        <x:v>VIIPFPG</x:v>
      </x:c>
      <x:c r="C63" s="35" t="n">
        <x:f>LEN(B63)</x:f>
        <x:v>7</x:v>
      </x:c>
      <x:c r="D63" s="35" t="n">
        <x:v>0</x:v>
      </x:c>
      <x:c r="E63" s="21" t="str">
        <x:v>bitter</x:v>
      </x:c>
      <x:c r="F63" s="21" t="str">
        <x:v>D - database non-salty annotation</x:v>
      </x:c>
      <x:c r="G63" s="21" t="str">
        <x:v>database annotation compilation (BIOPEP-UWM; TastePeptidesDB); source test conditions not verified row by row</x:v>
      </x:c>
      <x:c r="H63" s="22" t="str">
        <x:v>BIOPEP-UWM; TastePeptidesDB</x:v>
      </x:c>
    </x:row>
    <x:row r="64" ht="21.600000381469727" hidden="0" customHeight="1">
      <x:c r="A64" s="34" t="n">
        <x:v>61</x:v>
      </x:c>
      <x:c r="B64" s="35" t="str">
        <x:v>VIPFPGR</x:v>
      </x:c>
      <x:c r="C64" s="35" t="n">
        <x:f>LEN(B64)</x:f>
        <x:v>7</x:v>
      </x:c>
      <x:c r="D64" s="35" t="n">
        <x:v>0</x:v>
      </x:c>
      <x:c r="E64" s="21" t="str">
        <x:v>bitter</x:v>
      </x:c>
      <x:c r="F64" s="21" t="str">
        <x:v>D - database non-salty annotation</x:v>
      </x:c>
      <x:c r="G64" s="21" t="str">
        <x:v>database annotation compilation (BIOPEP-UWM; TastePeptidesDB); source test conditions not verified row by row</x:v>
      </x:c>
      <x:c r="H64" s="22" t="str">
        <x:v>BIOPEP-UWM; TastePeptidesDB</x:v>
      </x:c>
    </x:row>
    <x:row r="65" ht="21.600000381469727" hidden="0" customHeight="1">
      <x:c r="A65" s="34" t="n">
        <x:v>62</x:v>
      </x:c>
      <x:c r="B65" s="35" t="str">
        <x:v>VVAPFPE</x:v>
      </x:c>
      <x:c r="C65" s="35" t="n">
        <x:f>LEN(B65)</x:f>
        <x:v>7</x:v>
      </x:c>
      <x:c r="D65" s="35" t="n">
        <x:v>0</x:v>
      </x:c>
      <x:c r="E65" s="21" t="str">
        <x:v>bitter</x:v>
      </x:c>
      <x:c r="F65" s="21" t="str">
        <x:v>D - database non-salty annotation</x:v>
      </x:c>
      <x:c r="G65" s="21" t="str">
        <x:v>database annotation compilation (BIOPEP-UWM; TastePeptidesDB); source test conditions not verified row by row</x:v>
      </x:c>
      <x:c r="H65" s="22" t="str">
        <x:v>BIOPEP-UWM; TastePeptidesDB</x:v>
      </x:c>
    </x:row>
    <x:row r="66" ht="21.600000381469727" hidden="0" customHeight="1">
      <x:c r="A66" s="34" t="n">
        <x:v>63</x:v>
      </x:c>
      <x:c r="B66" s="35" t="str">
        <x:v>VVVPPFL</x:v>
      </x:c>
      <x:c r="C66" s="35" t="n">
        <x:f>LEN(B66)</x:f>
        <x:v>7</x:v>
      </x:c>
      <x:c r="D66" s="35" t="n">
        <x:v>0</x:v>
      </x:c>
      <x:c r="E66" s="21" t="str">
        <x:v>bitter</x:v>
      </x:c>
      <x:c r="F66" s="21" t="str">
        <x:v>D - database non-salty annotation</x:v>
      </x:c>
      <x:c r="G66" s="21" t="str">
        <x:v>database annotation compilation (BIOPEP-UWM; TastePeptidesDB); source test conditions not verified row by row</x:v>
      </x:c>
      <x:c r="H66" s="22" t="str">
        <x:v>BIOPEP-UWM; TastePeptidesDB</x:v>
      </x:c>
    </x:row>
    <x:row r="67" ht="21.600000381469727" hidden="0" customHeight="1">
      <x:c r="A67" s="34" t="n">
        <x:v>64</x:v>
      </x:c>
      <x:c r="B67" s="35" t="str">
        <x:v>YPFPGPI</x:v>
      </x:c>
      <x:c r="C67" s="35" t="n">
        <x:f>LEN(B67)</x:f>
        <x:v>7</x:v>
      </x:c>
      <x:c r="D67" s="35" t="n">
        <x:v>0</x:v>
      </x:c>
      <x:c r="E67" s="21" t="str">
        <x:v>bitter</x:v>
      </x:c>
      <x:c r="F67" s="21" t="str">
        <x:v>D - database non-salty annotation</x:v>
      </x:c>
      <x:c r="G67" s="21" t="str">
        <x:v>database annotation compilation (BIOPEP-UWM; TastePeptidesDB); source test conditions not verified row by row</x:v>
      </x:c>
      <x:c r="H67" s="22" t="str">
        <x:v>BIOPEP-UWM; TastePeptidesDB</x:v>
      </x:c>
    </x:row>
    <x:row r="68" ht="21.600000381469727" hidden="0" customHeight="1">
      <x:c r="A68" s="34" t="n">
        <x:v>65</x:v>
      </x:c>
      <x:c r="B68" s="35" t="str">
        <x:v>GGRPFFGG</x:v>
      </x:c>
      <x:c r="C68" s="35" t="n">
        <x:f>LEN(B68)</x:f>
        <x:v>8</x:v>
      </x:c>
      <x:c r="D68" s="35" t="n">
        <x:v>0</x:v>
      </x:c>
      <x:c r="E68" s="21" t="str">
        <x:v>bitter</x:v>
      </x:c>
      <x:c r="F68" s="21" t="str">
        <x:v>D - database non-salty annotation</x:v>
      </x:c>
      <x:c r="G68" s="21" t="str">
        <x:v>database annotation compilation (BIOPEP-UWM; TastePeptidesDB); source test conditions not verified row by row</x:v>
      </x:c>
      <x:c r="H68" s="22" t="str">
        <x:v>BIOPEP-UWM; TastePeptidesDB</x:v>
      </x:c>
    </x:row>
    <x:row r="69" ht="21.600000381469727" hidden="0" customHeight="1">
      <x:c r="A69" s="34" t="n">
        <x:v>66</x:v>
      </x:c>
      <x:c r="B69" s="35" t="str">
        <x:v>GPVRGPFP</x:v>
      </x:c>
      <x:c r="C69" s="35" t="n">
        <x:f>LEN(B69)</x:f>
        <x:v>8</x:v>
      </x:c>
      <x:c r="D69" s="35" t="n">
        <x:v>0</x:v>
      </x:c>
      <x:c r="E69" s="21" t="str">
        <x:v>bitter</x:v>
      </x:c>
      <x:c r="F69" s="21" t="str">
        <x:v>D - database non-salty annotation</x:v>
      </x:c>
      <x:c r="G69" s="21" t="str">
        <x:v>database annotation compilation (BIOPEP-UWM; TastePeptidesDB); source test conditions not verified row by row</x:v>
      </x:c>
      <x:c r="H69" s="22" t="str">
        <x:v>BIOPEP-UWM; TastePeptidesDB</x:v>
      </x:c>
    </x:row>
    <x:row r="70" ht="21.600000381469727" hidden="0" customHeight="1">
      <x:c r="A70" s="34" t="n">
        <x:v>67</x:v>
      </x:c>
      <x:c r="B70" s="35" t="str">
        <x:v>VIIPFPGR</x:v>
      </x:c>
      <x:c r="C70" s="35" t="n">
        <x:f>LEN(B70)</x:f>
        <x:v>8</x:v>
      </x:c>
      <x:c r="D70" s="35" t="n">
        <x:v>0</x:v>
      </x:c>
      <x:c r="E70" s="21" t="str">
        <x:v>bitter</x:v>
      </x:c>
      <x:c r="F70" s="21" t="str">
        <x:v>D - database non-salty annotation</x:v>
      </x:c>
      <x:c r="G70" s="21" t="str">
        <x:v>database annotation compilation (BIOPEP-UWM; TastePeptidesDB); source test conditions not verified row by row</x:v>
      </x:c>
      <x:c r="H70" s="22" t="str">
        <x:v>BIOPEP-UWM; TastePeptidesDB</x:v>
      </x:c>
    </x:row>
    <x:row r="71" ht="21.600000381469727" hidden="0" customHeight="1">
      <x:c r="A71" s="34" t="n">
        <x:v>68</x:v>
      </x:c>
      <x:c r="B71" s="35" t="str">
        <x:v>VVAPFPEV</x:v>
      </x:c>
      <x:c r="C71" s="35" t="n">
        <x:f>LEN(B71)</x:f>
        <x:v>8</x:v>
      </x:c>
      <x:c r="D71" s="35" t="n">
        <x:v>0</x:v>
      </x:c>
      <x:c r="E71" s="21" t="str">
        <x:v>bitter</x:v>
      </x:c>
      <x:c r="F71" s="21" t="str">
        <x:v>D - database non-salty annotation</x:v>
      </x:c>
      <x:c r="G71" s="21" t="str">
        <x:v>database annotation compilation (BIOPEP-UWM; TastePeptidesDB); source test conditions not verified row by row</x:v>
      </x:c>
      <x:c r="H71" s="22" t="str">
        <x:v>BIOPEP-UWM; TastePeptidesDB</x:v>
      </x:c>
    </x:row>
    <x:row r="72" ht="21.600000381469727" hidden="0" customHeight="1">
      <x:c r="A72" s="34" t="n">
        <x:v>69</x:v>
      </x:c>
      <x:c r="B72" s="35" t="str">
        <x:v>QLFNPSTNP</x:v>
      </x:c>
      <x:c r="C72" s="35" t="n">
        <x:f>LEN(B72)</x:f>
        <x:v>9</x:v>
      </x:c>
      <x:c r="D72" s="35" t="n">
        <x:v>0</x:v>
      </x:c>
      <x:c r="E72" s="21" t="str">
        <x:v>bitter</x:v>
      </x:c>
      <x:c r="F72" s="21" t="str">
        <x:v>D - database non-salty annotation</x:v>
      </x:c>
      <x:c r="G72" s="21" t="str">
        <x:v>database annotation compilation (BIOPEP-UWM; TastePeptidesDB); source test conditions not verified row by row</x:v>
      </x:c>
      <x:c r="H72" s="22" t="str">
        <x:v>BIOPEP-UWM; TastePeptidesDB</x:v>
      </x:c>
    </x:row>
    <x:row r="73" ht="21.600000381469727" hidden="0" customHeight="1">
      <x:c r="A73" s="34" t="n">
        <x:v>70</x:v>
      </x:c>
      <x:c r="B73" s="35" t="str">
        <x:v>FFRPFFRPFF</x:v>
      </x:c>
      <x:c r="C73" s="35" t="n">
        <x:f>LEN(B73)</x:f>
        <x:v>10</x:v>
      </x:c>
      <x:c r="D73" s="35" t="n">
        <x:v>0</x:v>
      </x:c>
      <x:c r="E73" s="21" t="str">
        <x:v>bitter</x:v>
      </x:c>
      <x:c r="F73" s="21" t="str">
        <x:v>D - database non-salty annotation</x:v>
      </x:c>
      <x:c r="G73" s="21" t="str">
        <x:v>database annotation compilation (BIOPEP-UWM; TastePeptidesDB); source test conditions not verified row by row</x:v>
      </x:c>
      <x:c r="H73" s="22" t="str">
        <x:v>BIOPEP-UWM; TastePeptidesDB</x:v>
      </x:c>
    </x:row>
    <x:row r="74" ht="21.600000381469727" hidden="0" customHeight="1">
      <x:c r="A74" s="34" t="n">
        <x:v>71</x:v>
      </x:c>
      <x:c r="B74" s="35" t="str">
        <x:v>VYPFGGGINH</x:v>
      </x:c>
      <x:c r="C74" s="35" t="n">
        <x:f>LEN(B74)</x:f>
        <x:v>10</x:v>
      </x:c>
      <x:c r="D74" s="35" t="n">
        <x:v>0</x:v>
      </x:c>
      <x:c r="E74" s="21" t="str">
        <x:v>bitter</x:v>
      </x:c>
      <x:c r="F74" s="21" t="str">
        <x:v>D - database non-salty annotation</x:v>
      </x:c>
      <x:c r="G74" s="21" t="str">
        <x:v>database annotation compilation (BIOPEP-UWM; TastePeptidesDB); source test conditions not verified row by row</x:v>
      </x:c>
      <x:c r="H74" s="22" t="str">
        <x:v>BIOPEP-UWM; TastePeptidesDB</x:v>
      </x:c>
    </x:row>
    <x:row r="75" ht="21.600000381469727" hidden="0" customHeight="1">
      <x:c r="A75" s="34" t="n">
        <x:v>72</x:v>
      </x:c>
      <x:c r="B75" s="35" t="str">
        <x:v>VYPFPPGIGG</x:v>
      </x:c>
      <x:c r="C75" s="35" t="n">
        <x:f>LEN(B75)</x:f>
        <x:v>10</x:v>
      </x:c>
      <x:c r="D75" s="35" t="n">
        <x:v>0</x:v>
      </x:c>
      <x:c r="E75" s="21" t="str">
        <x:v>bitter</x:v>
      </x:c>
      <x:c r="F75" s="21" t="str">
        <x:v>D - database non-salty annotation</x:v>
      </x:c>
      <x:c r="G75" s="21" t="str">
        <x:v>database annotation compilation (BIOPEP-UWM; TastePeptidesDB); source test conditions not verified row by row</x:v>
      </x:c>
      <x:c r="H75" s="22" t="str">
        <x:v>BIOPEP-UWM; TastePeptidesDB</x:v>
      </x:c>
    </x:row>
    <x:row r="76" ht="21.600000381469727" hidden="0" customHeight="1">
      <x:c r="A76" s="34" t="n">
        <x:v>73</x:v>
      </x:c>
      <x:c r="B76" s="35" t="str">
        <x:v>RPFFRPFFRPFF</x:v>
      </x:c>
      <x:c r="C76" s="35" t="n">
        <x:f>LEN(B76)</x:f>
        <x:v>12</x:v>
      </x:c>
      <x:c r="D76" s="35" t="n">
        <x:v>0</x:v>
      </x:c>
      <x:c r="E76" s="21" t="str">
        <x:v>bitter</x:v>
      </x:c>
      <x:c r="F76" s="21" t="str">
        <x:v>D - database non-salty annotation</x:v>
      </x:c>
      <x:c r="G76" s="21" t="str">
        <x:v>database annotation compilation (BIOPEP-UWM; TastePeptidesDB); source test conditions not verified row by row</x:v>
      </x:c>
      <x:c r="H76" s="22" t="str">
        <x:v>BIOPEP-UWM; TastePeptidesDB</x:v>
      </x:c>
    </x:row>
    <x:row r="77" ht="21.600000381469727" hidden="0" customHeight="1">
      <x:c r="A77" s="34" t="n">
        <x:v>74</x:v>
      </x:c>
      <x:c r="B77" s="35" t="str">
        <x:v>AH</x:v>
      </x:c>
      <x:c r="C77" s="35" t="n">
        <x:f>LEN(B77)</x:f>
        <x:v>2</x:v>
      </x:c>
      <x:c r="D77" s="35" t="n">
        <x:v>0</x:v>
      </x:c>
      <x:c r="E77" s="21" t="str">
        <x:v>umami, sour</x:v>
      </x:c>
      <x:c r="F77" s="21" t="str">
        <x:v>D - database non-salty annotation</x:v>
      </x:c>
      <x:c r="G77" s="21" t="str">
        <x:v>database annotation compilation (BIOPEP-UWM; TastePeptidesDB); source test conditions not verified row by row</x:v>
      </x:c>
      <x:c r="H77" s="22" t="str">
        <x:v>BIOPEP-UWM; TastePeptidesDB</x:v>
      </x:c>
    </x:row>
    <x:row r="78" ht="21.600000381469727" hidden="0" customHeight="1">
      <x:c r="A78" s="34" t="n">
        <x:v>75</x:v>
      </x:c>
      <x:c r="B78" s="35" t="str">
        <x:v>AQ</x:v>
      </x:c>
      <x:c r="C78" s="35" t="n">
        <x:f>LEN(B78)</x:f>
        <x:v>2</x:v>
      </x:c>
      <x:c r="D78" s="35" t="n">
        <x:v>0</x:v>
      </x:c>
      <x:c r="E78" s="21" t="str">
        <x:v>sour</x:v>
      </x:c>
      <x:c r="F78" s="21" t="str">
        <x:v>D - database non-salty annotation</x:v>
      </x:c>
      <x:c r="G78" s="21" t="str">
        <x:v>database annotation compilation (TastePeptidesDB); source test conditions not verified row by row</x:v>
      </x:c>
      <x:c r="H78" s="22" t="str">
        <x:v>TastePeptidesDB</x:v>
      </x:c>
    </x:row>
    <x:row r="79" ht="21.600000381469727" hidden="0" customHeight="1">
      <x:c r="A79" s="34" t="n">
        <x:v>76</x:v>
      </x:c>
      <x:c r="B79" s="35" t="str">
        <x:v>DV</x:v>
      </x:c>
      <x:c r="C79" s="35" t="n">
        <x:f>LEN(B79)</x:f>
        <x:v>2</x:v>
      </x:c>
      <x:c r="D79" s="35" t="n">
        <x:v>0</x:v>
      </x:c>
      <x:c r="E79" s="21" t="str">
        <x:v>sour, bitter</x:v>
      </x:c>
      <x:c r="F79" s="21" t="str">
        <x:v>D - database non-salty annotation</x:v>
      </x:c>
      <x:c r="G79" s="21" t="str">
        <x:v>database annotation compilation (BIOPEP-UWM; TastePeptidesDB); source test conditions not verified row by row</x:v>
      </x:c>
      <x:c r="H79" s="22" t="str">
        <x:v>BIOPEP-UWM; TastePeptidesDB</x:v>
      </x:c>
    </x:row>
    <x:row r="80" ht="21.600000381469727" hidden="0" customHeight="1">
      <x:c r="A80" s="34" t="n">
        <x:v>77</x:v>
      </x:c>
      <x:c r="B80" s="35" t="str">
        <x:v>EA</x:v>
      </x:c>
      <x:c r="C80" s="35" t="n">
        <x:f>LEN(B80)</x:f>
        <x:v>2</x:v>
      </x:c>
      <x:c r="D80" s="35" t="n">
        <x:v>0</x:v>
      </x:c>
      <x:c r="E80" s="21" t="str">
        <x:v>umami, sour, bitter</x:v>
      </x:c>
      <x:c r="F80" s="21" t="str">
        <x:v>D - database non-salty annotation</x:v>
      </x:c>
      <x:c r="G80" s="21" t="str">
        <x:v>database annotation compilation (BIOPEP-UWM; TastePeptidesDB); source test conditions not verified row by row</x:v>
      </x:c>
      <x:c r="H80" s="22" t="str">
        <x:v>BIOPEP-UWM; TastePeptidesDB</x:v>
      </x:c>
    </x:row>
    <x:row r="81" ht="21.600000381469727" hidden="0" customHeight="1">
      <x:c r="A81" s="34" t="n">
        <x:v>78</x:v>
      </x:c>
      <x:c r="B81" s="35" t="str">
        <x:v>EF</x:v>
      </x:c>
      <x:c r="C81" s="35" t="n">
        <x:f>LEN(B81)</x:f>
        <x:v>2</x:v>
      </x:c>
      <x:c r="D81" s="35" t="n">
        <x:v>0</x:v>
      </x:c>
      <x:c r="E81" s="21" t="str">
        <x:v>sour, bitter</x:v>
      </x:c>
      <x:c r="F81" s="21" t="str">
        <x:v>D - database non-salty annotation</x:v>
      </x:c>
      <x:c r="G81" s="21" t="str">
        <x:v>database annotation compilation (BIOPEP-UWM; TastePeptidesDB); source test conditions not verified row by row</x:v>
      </x:c>
      <x:c r="H81" s="22" t="str">
        <x:v>BIOPEP-UWM; TastePeptidesDB</x:v>
      </x:c>
    </x:row>
    <x:row r="82" ht="21.600000381469727" hidden="0" customHeight="1">
      <x:c r="A82" s="34" t="n">
        <x:v>79</x:v>
      </x:c>
      <x:c r="B82" s="35" t="str">
        <x:v>GE</x:v>
      </x:c>
      <x:c r="C82" s="35" t="n">
        <x:f>LEN(B82)</x:f>
        <x:v>2</x:v>
      </x:c>
      <x:c r="D82" s="35" t="n">
        <x:v>0</x:v>
      </x:c>
      <x:c r="E82" s="21" t="str">
        <x:v>umami, sour, bitter</x:v>
      </x:c>
      <x:c r="F82" s="21" t="str">
        <x:v>D - database non-salty annotation</x:v>
      </x:c>
      <x:c r="G82" s="21" t="str">
        <x:v>database annotation compilation (BIOPEP-UWM; TastePeptidesDB); source test conditions not verified row by row</x:v>
      </x:c>
      <x:c r="H82" s="22" t="str">
        <x:v>BIOPEP-UWM; TastePeptidesDB</x:v>
      </x:c>
    </x:row>
    <x:row r="83" ht="21.600000381469727" hidden="0" customHeight="1">
      <x:c r="A83" s="34" t="n">
        <x:v>80</x:v>
      </x:c>
      <x:c r="B83" s="35" t="str">
        <x:v>TP</x:v>
      </x:c>
      <x:c r="C83" s="35" t="n">
        <x:f>LEN(B83)</x:f>
        <x:v>2</x:v>
      </x:c>
      <x:c r="D83" s="35" t="n">
        <x:v>0</x:v>
      </x:c>
      <x:c r="E83" s="21" t="str">
        <x:v>sour, bitter</x:v>
      </x:c>
      <x:c r="F83" s="21" t="str">
        <x:v>D - database non-salty annotation</x:v>
      </x:c>
      <x:c r="G83" s="21" t="str">
        <x:v>database annotation compilation (BIOPEP-UWM; TastePeptidesDB); source test conditions not verified row by row</x:v>
      </x:c>
      <x:c r="H83" s="22" t="str">
        <x:v>BIOPEP-UWM; TastePeptidesDB</x:v>
      </x:c>
    </x:row>
    <x:row r="84" ht="21.600000381469727" hidden="0" customHeight="1">
      <x:c r="A84" s="34" t="n">
        <x:v>81</x:v>
      </x:c>
      <x:c r="B84" s="35" t="str">
        <x:v>VD</x:v>
      </x:c>
      <x:c r="C84" s="35" t="n">
        <x:f>LEN(B84)</x:f>
        <x:v>2</x:v>
      </x:c>
      <x:c r="D84" s="35" t="n">
        <x:v>0</x:v>
      </x:c>
      <x:c r="E84" s="21" t="str">
        <x:v>umami, sour, bitter</x:v>
      </x:c>
      <x:c r="F84" s="21" t="str">
        <x:v>D - database non-salty annotation</x:v>
      </x:c>
      <x:c r="G84" s="21" t="str">
        <x:v>database annotation compilation (BIOPEP-UWM; TastePeptidesDB); source test conditions not verified row by row</x:v>
      </x:c>
      <x:c r="H84" s="22" t="str">
        <x:v>BIOPEP-UWM; TastePeptidesDB</x:v>
      </x:c>
    </x:row>
    <x:row r="85" ht="21.600000381469727" hidden="0" customHeight="1">
      <x:c r="A85" s="34" t="n">
        <x:v>82</x:v>
      </x:c>
      <x:c r="B85" s="35" t="str">
        <x:v>VE</x:v>
      </x:c>
      <x:c r="C85" s="35" t="n">
        <x:f>LEN(B85)</x:f>
        <x:v>2</x:v>
      </x:c>
      <x:c r="D85" s="35" t="n">
        <x:v>0</x:v>
      </x:c>
      <x:c r="E85" s="21" t="str">
        <x:v>umami, sour, bitter</x:v>
      </x:c>
      <x:c r="F85" s="21" t="str">
        <x:v>D - database non-salty annotation</x:v>
      </x:c>
      <x:c r="G85" s="21" t="str">
        <x:v>database annotation compilation (BIOPEP-UWM; TastePeptidesDB); source test conditions not verified row by row</x:v>
      </x:c>
      <x:c r="H85" s="22" t="str">
        <x:v>BIOPEP-UWM; TastePeptidesDB</x:v>
      </x:c>
    </x:row>
    <x:row r="86" ht="21.600000381469727" hidden="0" customHeight="1">
      <x:c r="A86" s="34" t="n">
        <x:v>83</x:v>
      </x:c>
      <x:c r="B86" s="35" t="str">
        <x:v>ADE</x:v>
      </x:c>
      <x:c r="C86" s="35" t="n">
        <x:f>LEN(B86)</x:f>
        <x:v>3</x:v>
      </x:c>
      <x:c r="D86" s="35" t="n">
        <x:v>0</x:v>
      </x:c>
      <x:c r="E86" s="21" t="str">
        <x:v>umami, sour, bitter, sweet</x:v>
      </x:c>
      <x:c r="F86" s="21" t="str">
        <x:v>D - database non-salty annotation</x:v>
      </x:c>
      <x:c r="G86" s="21" t="str">
        <x:v>database annotation compilation (BIOPEP-UWM; TastePeptidesDB); source test conditions not verified row by row</x:v>
      </x:c>
      <x:c r="H86" s="22" t="str">
        <x:v>BIOPEP-UWM; TastePeptidesDB</x:v>
      </x:c>
    </x:row>
    <x:row r="87" ht="21.600000381469727" hidden="0" customHeight="1">
      <x:c r="A87" s="34" t="n">
        <x:v>84</x:v>
      </x:c>
      <x:c r="B87" s="35" t="str">
        <x:v>AED</x:v>
      </x:c>
      <x:c r="C87" s="35" t="n">
        <x:f>LEN(B87)</x:f>
        <x:v>3</x:v>
      </x:c>
      <x:c r="D87" s="35" t="n">
        <x:v>0</x:v>
      </x:c>
      <x:c r="E87" s="21" t="str">
        <x:v>sour</x:v>
      </x:c>
      <x:c r="F87" s="21" t="str">
        <x:v>D - database non-salty annotation</x:v>
      </x:c>
      <x:c r="G87" s="21" t="str">
        <x:v>database annotation compilation (BIOPEP-UWM; TastePeptidesDB); source test conditions not verified row by row</x:v>
      </x:c>
      <x:c r="H87" s="22" t="str">
        <x:v>BIOPEP-UWM; TastePeptidesDB</x:v>
      </x:c>
    </x:row>
    <x:row r="88" ht="21.600000381469727" hidden="0" customHeight="1">
      <x:c r="A88" s="34" t="n">
        <x:v>85</x:v>
      </x:c>
      <x:c r="B88" s="35" t="str">
        <x:v>DEL</x:v>
      </x:c>
      <x:c r="C88" s="35" t="n">
        <x:f>LEN(B88)</x:f>
        <x:v>3</x:v>
      </x:c>
      <x:c r="D88" s="35" t="n">
        <x:v>0</x:v>
      </x:c>
      <x:c r="E88" s="21" t="str">
        <x:v>umami, sour</x:v>
      </x:c>
      <x:c r="F88" s="21" t="str">
        <x:v>D - database non-salty annotation</x:v>
      </x:c>
      <x:c r="G88" s="21" t="str">
        <x:v>database annotation compilation (BIOPEP-UWM; TastePeptidesDB); source test conditions not verified row by row</x:v>
      </x:c>
      <x:c r="H88" s="22" t="str">
        <x:v>BIOPEP-UWM; TastePeptidesDB</x:v>
      </x:c>
    </x:row>
    <x:row r="89" ht="21.600000381469727" hidden="0" customHeight="1">
      <x:c r="A89" s="34" t="n">
        <x:v>86</x:v>
      </x:c>
      <x:c r="B89" s="35" t="str">
        <x:v>FEA</x:v>
      </x:c>
      <x:c r="C89" s="35" t="n">
        <x:f>LEN(B89)</x:f>
        <x:v>3</x:v>
      </x:c>
      <x:c r="D89" s="35" t="n">
        <x:v>0</x:v>
      </x:c>
      <x:c r="E89" s="21" t="str">
        <x:v>sour</x:v>
      </x:c>
      <x:c r="F89" s="21" t="str">
        <x:v>D - database non-salty annotation</x:v>
      </x:c>
      <x:c r="G89" s="21" t="str">
        <x:v>database annotation compilation (TastePeptidesDB); source test conditions not verified row by row</x:v>
      </x:c>
      <x:c r="H89" s="22" t="str">
        <x:v>TastePeptidesDB</x:v>
      </x:c>
    </x:row>
    <x:row r="90" ht="21.600000381469727" hidden="0" customHeight="1">
      <x:c r="A90" s="34" t="n">
        <x:v>87</x:v>
      </x:c>
      <x:c r="B90" s="35" t="str">
        <x:v>SLA</x:v>
      </x:c>
      <x:c r="C90" s="35" t="n">
        <x:f>LEN(B90)</x:f>
        <x:v>3</x:v>
      </x:c>
      <x:c r="D90" s="35" t="n">
        <x:v>0</x:v>
      </x:c>
      <x:c r="E90" s="21" t="str">
        <x:v>sour, bitter</x:v>
      </x:c>
      <x:c r="F90" s="21" t="str">
        <x:v>D - database non-salty annotation</x:v>
      </x:c>
      <x:c r="G90" s="21" t="str">
        <x:v>database annotation compilation (BIOPEP-UWM; TastePeptidesDB); source test conditions not verified row by row</x:v>
      </x:c>
      <x:c r="H90" s="22" t="str">
        <x:v>BIOPEP-UWM; TastePeptidesDB</x:v>
      </x:c>
    </x:row>
    <x:row r="91" ht="21.600000381469727" hidden="0" customHeight="1">
      <x:c r="A91" s="34" t="n">
        <x:v>88</x:v>
      </x:c>
      <x:c r="B91" s="35" t="str">
        <x:v>VDF</x:v>
      </x:c>
      <x:c r="C91" s="35" t="n">
        <x:f>LEN(B91)</x:f>
        <x:v>3</x:v>
      </x:c>
      <x:c r="D91" s="35" t="n">
        <x:v>0</x:v>
      </x:c>
      <x:c r="E91" s="21" t="str">
        <x:v>sour</x:v>
      </x:c>
      <x:c r="F91" s="21" t="str">
        <x:v>D - database non-salty annotation</x:v>
      </x:c>
      <x:c r="G91" s="21" t="str">
        <x:v>database annotation compilation (TastePeptidesDB); source test conditions not verified row by row</x:v>
      </x:c>
      <x:c r="H91" s="22" t="str">
        <x:v>TastePeptidesDB</x:v>
      </x:c>
    </x:row>
    <x:row r="92" ht="21.600000381469727" hidden="0" customHeight="1">
      <x:c r="A92" s="34" t="n">
        <x:v>89</x:v>
      </x:c>
      <x:c r="B92" s="35" t="str">
        <x:v>DETL</x:v>
      </x:c>
      <x:c r="C92" s="35" t="n">
        <x:f>LEN(B92)</x:f>
        <x:v>4</x:v>
      </x:c>
      <x:c r="D92" s="35" t="n">
        <x:v>0</x:v>
      </x:c>
      <x:c r="E92" s="21" t="str">
        <x:v>umami, sour</x:v>
      </x:c>
      <x:c r="F92" s="21" t="str">
        <x:v>D - database non-salty annotation</x:v>
      </x:c>
      <x:c r="G92" s="21" t="str">
        <x:v>database annotation compilation (TastePeptidesDB); source test conditions not verified row by row</x:v>
      </x:c>
      <x:c r="H92" s="22" t="str">
        <x:v>TastePeptidesDB</x:v>
      </x:c>
    </x:row>
    <x:row r="93" ht="21.600000381469727" hidden="0" customHeight="1">
      <x:c r="A93" s="34" t="n">
        <x:v>90</x:v>
      </x:c>
      <x:c r="B93" s="35" t="str">
        <x:v>DGPL</x:v>
      </x:c>
      <x:c r="C93" s="35" t="n">
        <x:f>LEN(B93)</x:f>
        <x:v>4</x:v>
      </x:c>
      <x:c r="D93" s="35" t="n">
        <x:v>0</x:v>
      </x:c>
      <x:c r="E93" s="21" t="str">
        <x:v>umami, sour, bitter</x:v>
      </x:c>
      <x:c r="F93" s="21" t="str">
        <x:v>D - database non-salty annotation</x:v>
      </x:c>
      <x:c r="G93" s="21" t="str">
        <x:v>database annotation compilation (TastePeptidesDB); source test conditions not verified row by row</x:v>
      </x:c>
      <x:c r="H93" s="22" t="str">
        <x:v>TastePeptidesDB</x:v>
      </x:c>
    </x:row>
    <x:row r="94" ht="21.600000381469727" hidden="0" customHeight="1">
      <x:c r="A94" s="34" t="n">
        <x:v>91</x:v>
      </x:c>
      <x:c r="B94" s="35" t="str">
        <x:v>EPAD</x:v>
      </x:c>
      <x:c r="C94" s="35" t="n">
        <x:f>LEN(B94)</x:f>
        <x:v>4</x:v>
      </x:c>
      <x:c r="D94" s="35" t="n">
        <x:v>0</x:v>
      </x:c>
      <x:c r="E94" s="21" t="str">
        <x:v>sour, bitter</x:v>
      </x:c>
      <x:c r="F94" s="21" t="str">
        <x:v>D - database non-salty annotation</x:v>
      </x:c>
      <x:c r="G94" s="21" t="str">
        <x:v>database annotation compilation (BIOPEP-UWM; TastePeptidesDB); source test conditions not verified row by row</x:v>
      </x:c>
      <x:c r="H94" s="22" t="str">
        <x:v>BIOPEP-UWM; TastePeptidesDB</x:v>
      </x:c>
    </x:row>
    <x:row r="95" ht="21.600000381469727" hidden="0" customHeight="1">
      <x:c r="A95" s="34" t="n">
        <x:v>92</x:v>
      </x:c>
      <x:c r="B95" s="35" t="str">
        <x:v>ESLA</x:v>
      </x:c>
      <x:c r="C95" s="35" t="n">
        <x:f>LEN(B95)</x:f>
        <x:v>4</x:v>
      </x:c>
      <x:c r="D95" s="35" t="n">
        <x:v>0</x:v>
      </x:c>
      <x:c r="E95" s="21" t="str">
        <x:v>umami, sour</x:v>
      </x:c>
      <x:c r="F95" s="21" t="str">
        <x:v>D - database non-salty annotation</x:v>
      </x:c>
      <x:c r="G95" s="21" t="str">
        <x:v>database annotation compilation (TastePeptidesDB); source test conditions not verified row by row</x:v>
      </x:c>
      <x:c r="H95" s="22" t="str">
        <x:v>TastePeptidesDB</x:v>
      </x:c>
    </x:row>
    <x:row r="96" ht="21.600000381469727" hidden="0" customHeight="1">
      <x:c r="A96" s="34" t="n">
        <x:v>93</x:v>
      </x:c>
      <x:c r="B96" s="35" t="str">
        <x:v>FPEE</x:v>
      </x:c>
      <x:c r="C96" s="35" t="n">
        <x:f>LEN(B96)</x:f>
        <x:v>4</x:v>
      </x:c>
      <x:c r="D96" s="35" t="n">
        <x:v>0</x:v>
      </x:c>
      <x:c r="E96" s="21" t="str">
        <x:v>umami, sour</x:v>
      </x:c>
      <x:c r="F96" s="21" t="str">
        <x:v>D - database non-salty annotation</x:v>
      </x:c>
      <x:c r="G96" s="21" t="str">
        <x:v>database annotation compilation (TastePeptidesDB); source test conditions not verified row by row</x:v>
      </x:c>
      <x:c r="H96" s="22" t="str">
        <x:v>TastePeptidesDB</x:v>
      </x:c>
    </x:row>
    <x:row r="97" ht="21.600000381469727" hidden="0" customHeight="1">
      <x:c r="A97" s="34" t="n">
        <x:v>94</x:v>
      </x:c>
      <x:c r="B97" s="35" t="str">
        <x:v>HHYE</x:v>
      </x:c>
      <x:c r="C97" s="35" t="n">
        <x:f>LEN(B97)</x:f>
        <x:v>4</x:v>
      </x:c>
      <x:c r="D97" s="35" t="n">
        <x:v>0</x:v>
      </x:c>
      <x:c r="E97" s="21" t="str">
        <x:v>umami, sour</x:v>
      </x:c>
      <x:c r="F97" s="21" t="str">
        <x:v>D - database non-salty annotation</x:v>
      </x:c>
      <x:c r="G97" s="21" t="str">
        <x:v>database annotation compilation (TastePeptidesDB); source test conditions not verified row by row</x:v>
      </x:c>
      <x:c r="H97" s="22" t="str">
        <x:v>TastePeptidesDB</x:v>
      </x:c>
    </x:row>
    <x:row r="98" ht="21.600000381469727" hidden="0" customHeight="1">
      <x:c r="A98" s="34" t="n">
        <x:v>95</x:v>
      </x:c>
      <x:c r="B98" s="35" t="str">
        <x:v>RRLL</x:v>
      </x:c>
      <x:c r="C98" s="35" t="n">
        <x:f>LEN(B98)</x:f>
        <x:v>4</x:v>
      </x:c>
      <x:c r="D98" s="35" t="n">
        <x:v>0</x:v>
      </x:c>
      <x:c r="E98" s="21" t="str">
        <x:v>umami, sour</x:v>
      </x:c>
      <x:c r="F98" s="21" t="str">
        <x:v>D - database non-salty annotation</x:v>
      </x:c>
      <x:c r="G98" s="21" t="str">
        <x:v>database annotation compilation (TastePeptidesDB); source test conditions not verified row by row</x:v>
      </x:c>
      <x:c r="H98" s="22" t="str">
        <x:v>TastePeptidesDB</x:v>
      </x:c>
    </x:row>
    <x:row r="99" ht="21.600000381469727" hidden="0" customHeight="1">
      <x:c r="A99" s="34" t="n">
        <x:v>96</x:v>
      </x:c>
      <x:c r="B99" s="35" t="str">
        <x:v>TWKE</x:v>
      </x:c>
      <x:c r="C99" s="35" t="n">
        <x:f>LEN(B99)</x:f>
        <x:v>4</x:v>
      </x:c>
      <x:c r="D99" s="35" t="n">
        <x:v>0</x:v>
      </x:c>
      <x:c r="E99" s="21" t="str">
        <x:v>umami, sour</x:v>
      </x:c>
      <x:c r="F99" s="21" t="str">
        <x:v>D - database non-salty annotation</x:v>
      </x:c>
      <x:c r="G99" s="21" t="str">
        <x:v>database annotation compilation (TastePeptidesDB); source test conditions not verified row by row</x:v>
      </x:c>
      <x:c r="H99" s="22" t="str">
        <x:v>TastePeptidesDB</x:v>
      </x:c>
    </x:row>
    <x:row r="100" ht="21.600000381469727" hidden="0" customHeight="1">
      <x:c r="A100" s="34" t="n">
        <x:v>97</x:v>
      </x:c>
      <x:c r="B100" s="35" t="str">
        <x:v>CDLSD</x:v>
      </x:c>
      <x:c r="C100" s="35" t="n">
        <x:f>LEN(B100)</x:f>
        <x:v>5</x:v>
      </x:c>
      <x:c r="D100" s="35" t="n">
        <x:v>0</x:v>
      </x:c>
      <x:c r="E100" s="21" t="str">
        <x:v>sour</x:v>
      </x:c>
      <x:c r="F100" s="21" t="str">
        <x:v>D - database non-salty annotation</x:v>
      </x:c>
      <x:c r="G100" s="21" t="str">
        <x:v>database annotation compilation (TastePeptidesDB); source test conditions not verified row by row</x:v>
      </x:c>
      <x:c r="H100" s="22" t="str">
        <x:v>TastePeptidesDB</x:v>
      </x:c>
    </x:row>
    <x:row r="101" ht="21.600000381469727" hidden="0" customHeight="1">
      <x:c r="A101" s="34" t="n">
        <x:v>98</x:v>
      </x:c>
      <x:c r="B101" s="35" t="str">
        <x:v>FHHGD</x:v>
      </x:c>
      <x:c r="C101" s="35" t="n">
        <x:f>LEN(B101)</x:f>
        <x:v>5</x:v>
      </x:c>
      <x:c r="D101" s="35" t="n">
        <x:v>0</x:v>
      </x:c>
      <x:c r="E101" s="21" t="str">
        <x:v>umami, sour</x:v>
      </x:c>
      <x:c r="F101" s="21" t="str">
        <x:v>D - database non-salty annotation</x:v>
      </x:c>
      <x:c r="G101" s="21" t="str">
        <x:v>database annotation compilation (BIOPEP-UWM; TastePeptidesDB); source test conditions not verified row by row</x:v>
      </x:c>
      <x:c r="H101" s="22" t="str">
        <x:v>BIOPEP-UWM; TastePeptidesDB</x:v>
      </x:c>
    </x:row>
    <x:row r="102" ht="21.600000381469727" hidden="0" customHeight="1">
      <x:c r="A102" s="34" t="n">
        <x:v>99</x:v>
      </x:c>
      <x:c r="B102" s="35" t="str">
        <x:v>FRDEH</x:v>
      </x:c>
      <x:c r="C102" s="35" t="n">
        <x:f>LEN(B102)</x:f>
        <x:v>5</x:v>
      </x:c>
      <x:c r="D102" s="35" t="n">
        <x:v>0</x:v>
      </x:c>
      <x:c r="E102" s="21" t="str">
        <x:v>umami, sour</x:v>
      </x:c>
      <x:c r="F102" s="21" t="str">
        <x:v>D - database non-salty annotation</x:v>
      </x:c>
      <x:c r="G102" s="21" t="str">
        <x:v>database annotation compilation (BIOPEP-UWM; TastePeptidesDB); source test conditions not verified row by row</x:v>
      </x:c>
      <x:c r="H102" s="22" t="str">
        <x:v>BIOPEP-UWM; TastePeptidesDB</x:v>
      </x:c>
    </x:row>
    <x:row r="103" ht="21.600000381469727" hidden="0" customHeight="1">
      <x:c r="A103" s="34" t="n">
        <x:v>100</x:v>
      </x:c>
      <x:c r="B103" s="35" t="str">
        <x:v>NALPD</x:v>
      </x:c>
      <x:c r="C103" s="35" t="n">
        <x:f>LEN(B103)</x:f>
        <x:v>5</x:v>
      </x:c>
      <x:c r="D103" s="35" t="n">
        <x:v>0</x:v>
      </x:c>
      <x:c r="E103" s="21" t="str">
        <x:v>sour</x:v>
      </x:c>
      <x:c r="F103" s="21" t="str">
        <x:v>D - database non-salty annotation</x:v>
      </x:c>
      <x:c r="G103" s="21" t="str">
        <x:v>database annotation compilation (TastePeptidesDB); source test conditions not verified row by row</x:v>
      </x:c>
      <x:c r="H103" s="22" t="str">
        <x:v>TastePeptidesDB</x:v>
      </x:c>
    </x:row>
    <x:row r="104" ht="21.600000381469727" hidden="0" customHeight="1">
      <x:c r="A104" s="34" t="n">
        <x:v>101</x:v>
      </x:c>
      <x:c r="B104" s="35" t="str">
        <x:v>DALAHK</x:v>
      </x:c>
      <x:c r="C104" s="35" t="n">
        <x:f>LEN(B104)</x:f>
        <x:v>6</x:v>
      </x:c>
      <x:c r="D104" s="35" t="n">
        <x:v>0</x:v>
      </x:c>
      <x:c r="E104" s="21" t="str">
        <x:v>sour</x:v>
      </x:c>
      <x:c r="F104" s="21" t="str">
        <x:v>D - database non-salty annotation</x:v>
      </x:c>
      <x:c r="G104" s="21" t="str">
        <x:v>database annotation compilation (TastePeptidesDB); source test conditions not verified row by row</x:v>
      </x:c>
      <x:c r="H104" s="22" t="str">
        <x:v>TastePeptidesDB</x:v>
      </x:c>
    </x:row>
    <x:row r="105" ht="21.600000381469727" hidden="0" customHeight="1">
      <x:c r="A105" s="34" t="n">
        <x:v>102</x:v>
      </x:c>
      <x:c r="B105" s="35" t="str">
        <x:v>FRDEHQ</x:v>
      </x:c>
      <x:c r="C105" s="35" t="n">
        <x:f>LEN(B105)</x:f>
        <x:v>6</x:v>
      </x:c>
      <x:c r="D105" s="35" t="n">
        <x:v>0</x:v>
      </x:c>
      <x:c r="E105" s="21" t="str">
        <x:v>umami, sour</x:v>
      </x:c>
      <x:c r="F105" s="21" t="str">
        <x:v>D - database non-salty annotation</x:v>
      </x:c>
      <x:c r="G105" s="21" t="str">
        <x:v>database annotation compilation (BIOPEP-UWM; TastePeptidesDB); source test conditions not verified row by row</x:v>
      </x:c>
      <x:c r="H105" s="22" t="str">
        <x:v>BIOPEP-UWM; TastePeptidesDB</x:v>
      </x:c>
    </x:row>
    <x:row r="106" ht="21.600000381469727" hidden="0" customHeight="1">
      <x:c r="A106" s="34" t="n">
        <x:v>103</x:v>
      </x:c>
      <x:c r="B106" s="35" t="str">
        <x:v>NFHHGD</x:v>
      </x:c>
      <x:c r="C106" s="35" t="n">
        <x:f>LEN(B106)</x:f>
        <x:v>6</x:v>
      </x:c>
      <x:c r="D106" s="35" t="n">
        <x:v>0</x:v>
      </x:c>
      <x:c r="E106" s="21" t="str">
        <x:v>umami, sour</x:v>
      </x:c>
      <x:c r="F106" s="21" t="str">
        <x:v>D - database non-salty annotation</x:v>
      </x:c>
      <x:c r="G106" s="21" t="str">
        <x:v>database annotation compilation (BIOPEP-UWM; TastePeptidesDB); source test conditions not verified row by row</x:v>
      </x:c>
      <x:c r="H106" s="22" t="str">
        <x:v>BIOPEP-UWM; TastePeptidesDB</x:v>
      </x:c>
    </x:row>
    <x:row r="107" ht="21.600000381469727" hidden="0" customHeight="1">
      <x:c r="A107" s="34" t="n">
        <x:v>104</x:v>
      </x:c>
      <x:c r="B107" s="35" t="str">
        <x:v>PVLVQR</x:v>
      </x:c>
      <x:c r="C107" s="35" t="n">
        <x:f>LEN(B107)</x:f>
        <x:v>6</x:v>
      </x:c>
      <x:c r="D107" s="35" t="n">
        <x:v>0</x:v>
      </x:c>
      <x:c r="E107" s="21" t="str">
        <x:v>sour</x:v>
      </x:c>
      <x:c r="F107" s="21" t="str">
        <x:v>D - database non-salty annotation</x:v>
      </x:c>
      <x:c r="G107" s="21" t="str">
        <x:v>database annotation compilation (TastePeptidesDB); source test conditions not verified row by row</x:v>
      </x:c>
      <x:c r="H107" s="22" t="str">
        <x:v>TastePeptidesDB</x:v>
      </x:c>
    </x:row>
    <x:row r="108" ht="21.600000381469727" hidden="0" customHeight="1">
      <x:c r="A108" s="34" t="n">
        <x:v>105</x:v>
      </x:c>
      <x:c r="B108" s="35" t="str">
        <x:v>RFRQGD</x:v>
      </x:c>
      <x:c r="C108" s="35" t="n">
        <x:f>LEN(B108)</x:f>
        <x:v>6</x:v>
      </x:c>
      <x:c r="D108" s="35" t="n">
        <x:v>0</x:v>
      </x:c>
      <x:c r="E108" s="21" t="str">
        <x:v>umami, sour</x:v>
      </x:c>
      <x:c r="F108" s="21" t="str">
        <x:v>D - database non-salty annotation</x:v>
      </x:c>
      <x:c r="G108" s="21" t="str">
        <x:v>database annotation compilation (BIOPEP-UWM; TastePeptidesDB); source test conditions not verified row by row</x:v>
      </x:c>
      <x:c r="H108" s="22" t="str">
        <x:v>BIOPEP-UWM; TastePeptidesDB</x:v>
      </x:c>
    </x:row>
    <x:row r="109" ht="21.600000381469727" hidden="0" customHeight="1">
      <x:c r="A109" s="34" t="n">
        <x:v>106</x:v>
      </x:c>
      <x:c r="B109" s="35" t="str">
        <x:v>AEASALR</x:v>
      </x:c>
      <x:c r="C109" s="35" t="n">
        <x:f>LEN(B109)</x:f>
        <x:v>7</x:v>
      </x:c>
      <x:c r="D109" s="35" t="n">
        <x:v>0</x:v>
      </x:c>
      <x:c r="E109" s="21" t="str">
        <x:v>umami, sour</x:v>
      </x:c>
      <x:c r="F109" s="21" t="str">
        <x:v>D - database non-salty annotation</x:v>
      </x:c>
      <x:c r="G109" s="21" t="str">
        <x:v>database annotation compilation (TastePeptidesDB); source test conditions not verified row by row</x:v>
      </x:c>
      <x:c r="H109" s="22" t="str">
        <x:v>TastePeptidesDB</x:v>
      </x:c>
    </x:row>
    <x:row r="110" ht="21.600000381469727" hidden="0" customHeight="1">
      <x:c r="A110" s="34" t="n">
        <x:v>107</x:v>
      </x:c>
      <x:c r="B110" s="35" t="str">
        <x:v>AKYDDIK</x:v>
      </x:c>
      <x:c r="C110" s="35" t="n">
        <x:f>LEN(B110)</x:f>
        <x:v>7</x:v>
      </x:c>
      <x:c r="D110" s="35" t="n">
        <x:v>0</x:v>
      </x:c>
      <x:c r="E110" s="21" t="str">
        <x:v>umami, sour, bitter</x:v>
      </x:c>
      <x:c r="F110" s="21" t="str">
        <x:v>D - database non-salty annotation</x:v>
      </x:c>
      <x:c r="G110" s="21" t="str">
        <x:v>database annotation compilation (TastePeptidesDB); source test conditions not verified row by row</x:v>
      </x:c>
      <x:c r="H110" s="22" t="str">
        <x:v>TastePeptidesDB</x:v>
      </x:c>
    </x:row>
    <x:row r="111" ht="21.600000381469727" hidden="0" customHeight="1">
      <x:c r="A111" s="34" t="n">
        <x:v>108</x:v>
      </x:c>
      <x:c r="B111" s="35" t="str">
        <x:v>ASNMSDL</x:v>
      </x:c>
      <x:c r="C111" s="35" t="n">
        <x:f>LEN(B111)</x:f>
        <x:v>7</x:v>
      </x:c>
      <x:c r="D111" s="35" t="n">
        <x:v>0</x:v>
      </x:c>
      <x:c r="E111" s="21" t="str">
        <x:v>umami, sour</x:v>
      </x:c>
      <x:c r="F111" s="21" t="str">
        <x:v>D - database non-salty annotation</x:v>
      </x:c>
      <x:c r="G111" s="21" t="str">
        <x:v>database annotation compilation (TastePeptidesDB); source test conditions not verified row by row</x:v>
      </x:c>
      <x:c r="H111" s="22" t="str">
        <x:v>TastePeptidesDB</x:v>
      </x:c>
    </x:row>
    <x:row r="112" ht="21.600000381469727" hidden="0" customHeight="1">
      <x:c r="A112" s="34" t="n">
        <x:v>109</x:v>
      </x:c>
      <x:c r="B112" s="35" t="str">
        <x:v>IDDLEDE</x:v>
      </x:c>
      <x:c r="C112" s="35" t="n">
        <x:f>LEN(B112)</x:f>
        <x:v>7</x:v>
      </x:c>
      <x:c r="D112" s="35" t="n">
        <x:v>0</x:v>
      </x:c>
      <x:c r="E112" s="21" t="str">
        <x:v>sour</x:v>
      </x:c>
      <x:c r="F112" s="21" t="str">
        <x:v>D - database non-salty annotation</x:v>
      </x:c>
      <x:c r="G112" s="21" t="str">
        <x:v>database annotation compilation (TastePeptidesDB); source test conditions not verified row by row</x:v>
      </x:c>
      <x:c r="H112" s="22" t="str">
        <x:v>TastePeptidesDB</x:v>
      </x:c>
    </x:row>
    <x:row r="113" ht="21.600000381469727" hidden="0" customHeight="1">
      <x:c r="A113" s="34" t="n">
        <x:v>110</x:v>
      </x:c>
      <x:c r="B113" s="35" t="str">
        <x:v>IQKELQF</x:v>
      </x:c>
      <x:c r="C113" s="35" t="n">
        <x:f>LEN(B113)</x:f>
        <x:v>7</x:v>
      </x:c>
      <x:c r="D113" s="35" t="n">
        <x:v>0</x:v>
      </x:c>
      <x:c r="E113" s="21" t="str">
        <x:v>umami, sour, bitter</x:v>
      </x:c>
      <x:c r="F113" s="21" t="str">
        <x:v>D - database non-salty annotation</x:v>
      </x:c>
      <x:c r="G113" s="21" t="str">
        <x:v>database annotation compilation (TastePeptidesDB); source test conditions not verified row by row</x:v>
      </x:c>
      <x:c r="H113" s="22" t="str">
        <x:v>TastePeptidesDB</x:v>
      </x:c>
    </x:row>
    <x:row r="114" ht="21.600000381469727" hidden="0" customHeight="1">
      <x:c r="A114" s="34" t="n">
        <x:v>111</x:v>
      </x:c>
      <x:c r="B114" s="35" t="str">
        <x:v>TVDGPSH</x:v>
      </x:c>
      <x:c r="C114" s="35" t="n">
        <x:f>LEN(B114)</x:f>
        <x:v>7</x:v>
      </x:c>
      <x:c r="D114" s="35" t="n">
        <x:v>0</x:v>
      </x:c>
      <x:c r="E114" s="21" t="str">
        <x:v>umami, sour</x:v>
      </x:c>
      <x:c r="F114" s="21" t="str">
        <x:v>D - database non-salty annotation</x:v>
      </x:c>
      <x:c r="G114" s="21" t="str">
        <x:v>database annotation compilation (BIOPEP-UWM; TastePeptidesDB); source test conditions not verified row by row</x:v>
      </x:c>
      <x:c r="H114" s="22" t="str">
        <x:v>BIOPEP-UWM; TastePeptidesDB</x:v>
      </x:c>
    </x:row>
    <x:row r="115" ht="21.600000381469727" hidden="0" customHeight="1">
      <x:c r="A115" s="34" t="n">
        <x:v>112</x:v>
      </x:c>
      <x:c r="B115" s="35" t="str">
        <x:v>GPGCKAGL</x:v>
      </x:c>
      <x:c r="C115" s="35" t="n">
        <x:f>LEN(B115)</x:f>
        <x:v>8</x:v>
      </x:c>
      <x:c r="D115" s="35" t="n">
        <x:v>0</x:v>
      </x:c>
      <x:c r="E115" s="21" t="str">
        <x:v>sour</x:v>
      </x:c>
      <x:c r="F115" s="21" t="str">
        <x:v>D - database non-salty annotation</x:v>
      </x:c>
      <x:c r="G115" s="21" t="str">
        <x:v>database annotation compilation (TastePeptidesDB); source test conditions not verified row by row</x:v>
      </x:c>
      <x:c r="H115" s="22" t="str">
        <x:v>TastePeptidesDB</x:v>
      </x:c>
    </x:row>
    <x:row r="116" ht="21.600000381469727" hidden="0" customHeight="1">
      <x:c r="A116" s="34" t="n">
        <x:v>113</x:v>
      </x:c>
      <x:c r="B116" s="35" t="str">
        <x:v>MDAIKKMQ</x:v>
      </x:c>
      <x:c r="C116" s="35" t="n">
        <x:f>LEN(B116)</x:f>
        <x:v>8</x:v>
      </x:c>
      <x:c r="D116" s="35" t="n">
        <x:v>0</x:v>
      </x:c>
      <x:c r="E116" s="21" t="str">
        <x:v>sour</x:v>
      </x:c>
      <x:c r="F116" s="21" t="str">
        <x:v>D - database non-salty annotation</x:v>
      </x:c>
      <x:c r="G116" s="21" t="str">
        <x:v>database annotation compilation (TastePeptidesDB); source test conditions not verified row by row</x:v>
      </x:c>
      <x:c r="H116" s="22" t="str">
        <x:v>TastePeptidesDB</x:v>
      </x:c>
    </x:row>
    <x:row r="117" ht="21.600000381469727" hidden="0" customHeight="1">
      <x:c r="A117" s="34" t="n">
        <x:v>114</x:v>
      </x:c>
      <x:c r="B117" s="35" t="str">
        <x:v>PGWETYRK</x:v>
      </x:c>
      <x:c r="C117" s="35" t="n">
        <x:f>LEN(B117)</x:f>
        <x:v>8</x:v>
      </x:c>
      <x:c r="D117" s="35" t="n">
        <x:v>0</x:v>
      </x:c>
      <x:c r="E117" s="21" t="str">
        <x:v>sour</x:v>
      </x:c>
      <x:c r="F117" s="21" t="str">
        <x:v>D - database non-salty annotation</x:v>
      </x:c>
      <x:c r="G117" s="21" t="str">
        <x:v>database annotation compilation (TastePeptidesDB); source test conditions not verified row by row</x:v>
      </x:c>
      <x:c r="H117" s="22" t="str">
        <x:v>TastePeptidesDB</x:v>
      </x:c>
    </x:row>
    <x:row r="118" ht="21.600000381469727" hidden="0" customHeight="1">
      <x:c r="A118" s="34" t="n">
        <x:v>115</x:v>
      </x:c>
      <x:c r="B118" s="35" t="str">
        <x:v>PKALSAFK</x:v>
      </x:c>
      <x:c r="C118" s="35" t="n">
        <x:f>LEN(B118)</x:f>
        <x:v>8</x:v>
      </x:c>
      <x:c r="D118" s="35" t="n">
        <x:v>0</x:v>
      </x:c>
      <x:c r="E118" s="21" t="str">
        <x:v>sour</x:v>
      </x:c>
      <x:c r="F118" s="21" t="str">
        <x:v>D - database non-salty annotation</x:v>
      </x:c>
      <x:c r="G118" s="21" t="str">
        <x:v>database annotation compilation (TastePeptidesDB); source test conditions not verified row by row</x:v>
      </x:c>
      <x:c r="H118" s="22" t="str">
        <x:v>TastePeptidesDB</x:v>
      </x:c>
    </x:row>
    <x:row r="119" ht="21.600000381469727" hidden="0" customHeight="1">
      <x:c r="A119" s="34" t="n">
        <x:v>116</x:v>
      </x:c>
      <x:c r="B119" s="35" t="str">
        <x:v>GGISTGNLN</x:v>
      </x:c>
      <x:c r="C119" s="35" t="n">
        <x:f>LEN(B119)</x:f>
        <x:v>9</x:v>
      </x:c>
      <x:c r="D119" s="35" t="n">
        <x:v>0</x:v>
      </x:c>
      <x:c r="E119" s="21" t="str">
        <x:v>sour</x:v>
      </x:c>
      <x:c r="F119" s="21" t="str">
        <x:v>D - database non-salty annotation</x:v>
      </x:c>
      <x:c r="G119" s="21" t="str">
        <x:v>database annotation compilation (TastePeptidesDB); source test conditions not verified row by row</x:v>
      </x:c>
      <x:c r="H119" s="22" t="str">
        <x:v>TastePeptidesDB</x:v>
      </x:c>
    </x:row>
    <x:row r="120" ht="21.600000381469727" hidden="0" customHeight="1">
      <x:c r="A120" s="34" t="n">
        <x:v>117</x:v>
      </x:c>
      <x:c r="B120" s="35" t="str">
        <x:v>FVAKIKGKEQ</x:v>
      </x:c>
      <x:c r="C120" s="35" t="n">
        <x:f>LEN(B120)</x:f>
        <x:v>10</x:v>
      </x:c>
      <x:c r="D120" s="35" t="n">
        <x:v>0</x:v>
      </x:c>
      <x:c r="E120" s="21" t="str">
        <x:v>sour</x:v>
      </x:c>
      <x:c r="F120" s="21" t="str">
        <x:v>D - database non-salty annotation</x:v>
      </x:c>
      <x:c r="G120" s="21" t="str">
        <x:v>database annotation compilation (TastePeptidesDB); source test conditions not verified row by row</x:v>
      </x:c>
      <x:c r="H120" s="22" t="str">
        <x:v>TastePeptidesDB</x:v>
      </x:c>
    </x:row>
    <x:row r="121" ht="21.600000381469727" hidden="0" customHeight="1">
      <x:c r="A121" s="34" t="n">
        <x:v>118</x:v>
      </x:c>
      <x:c r="B121" s="35" t="str">
        <x:v>VIGGPQGDAG</x:v>
      </x:c>
      <x:c r="C121" s="35" t="n">
        <x:f>LEN(B121)</x:f>
        <x:v>10</x:v>
      </x:c>
      <x:c r="D121" s="35" t="n">
        <x:v>0</x:v>
      </x:c>
      <x:c r="E121" s="21" t="str">
        <x:v>sour</x:v>
      </x:c>
      <x:c r="F121" s="21" t="str">
        <x:v>D - database non-salty annotation</x:v>
      </x:c>
      <x:c r="G121" s="21" t="str">
        <x:v>database annotation compilation (TastePeptidesDB); source test conditions not verified row by row</x:v>
      </x:c>
      <x:c r="H121" s="22" t="str">
        <x:v>TastePeptidesDB</x:v>
      </x:c>
    </x:row>
    <x:row r="122" ht="21.600000381469727" hidden="0" customHeight="1">
      <x:c r="A122" s="34" t="n">
        <x:v>119</x:v>
      </x:c>
      <x:c r="B122" s="35" t="str">
        <x:v>VIIGGGDTAT</x:v>
      </x:c>
      <x:c r="C122" s="35" t="n">
        <x:f>LEN(B122)</x:f>
        <x:v>10</x:v>
      </x:c>
      <x:c r="D122" s="35" t="n">
        <x:v>0</x:v>
      </x:c>
      <x:c r="E122" s="21" t="str">
        <x:v>sour</x:v>
      </x:c>
      <x:c r="F122" s="21" t="str">
        <x:v>D - database non-salty annotation</x:v>
      </x:c>
      <x:c r="G122" s="21" t="str">
        <x:v>database annotation compilation (TastePeptidesDB); source test conditions not verified row by row</x:v>
      </x:c>
      <x:c r="H122" s="22" t="str">
        <x:v>TastePeptidesDB</x:v>
      </x:c>
    </x:row>
    <x:row r="123" ht="21.600000381469727" hidden="0" customHeight="1">
      <x:c r="A123" s="34" t="n">
        <x:v>120</x:v>
      </x:c>
      <x:c r="B123" s="35" t="str">
        <x:v>AA</x:v>
      </x:c>
      <x:c r="C123" s="35" t="n">
        <x:f>LEN(B123)</x:f>
        <x:v>2</x:v>
      </x:c>
      <x:c r="D123" s="35" t="n">
        <x:v>0</x:v>
      </x:c>
      <x:c r="E123" s="21" t="str">
        <x:v>sweet</x:v>
      </x:c>
      <x:c r="F123" s="21" t="str">
        <x:v>D - database non-salty annotation</x:v>
      </x:c>
      <x:c r="G123" s="21" t="str">
        <x:v>database annotation compilation (BIOPEP-UWM; TastePeptidesDB); source test conditions not verified row by row</x:v>
      </x:c>
      <x:c r="H123" s="22" t="str">
        <x:v>BIOPEP-UWM; TastePeptidesDB</x:v>
      </x:c>
    </x:row>
    <x:row r="124" ht="21.600000381469727" hidden="0" customHeight="1">
      <x:c r="A124" s="34" t="n">
        <x:v>121</x:v>
      </x:c>
      <x:c r="B124" s="35" t="str">
        <x:v>AM</x:v>
      </x:c>
      <x:c r="C124" s="35" t="n">
        <x:f>LEN(B124)</x:f>
        <x:v>2</x:v>
      </x:c>
      <x:c r="D124" s="35" t="n">
        <x:v>0</x:v>
      </x:c>
      <x:c r="E124" s="21" t="str">
        <x:v>bitter, sweet</x:v>
      </x:c>
      <x:c r="F124" s="21" t="str">
        <x:v>D - database non-salty annotation</x:v>
      </x:c>
      <x:c r="G124" s="21" t="str">
        <x:v>database annotation compilation (TastePeptidesDB); source test conditions not verified row by row</x:v>
      </x:c>
      <x:c r="H124" s="22" t="str">
        <x:v>TastePeptidesDB</x:v>
      </x:c>
    </x:row>
    <x:row r="125" ht="21.600000381469727" hidden="0" customHeight="1">
      <x:c r="A125" s="34" t="n">
        <x:v>122</x:v>
      </x:c>
      <x:c r="B125" s="35" t="str">
        <x:v>CN</x:v>
      </x:c>
      <x:c r="C125" s="35" t="n">
        <x:f>LEN(B125)</x:f>
        <x:v>2</x:v>
      </x:c>
      <x:c r="D125" s="35" t="n">
        <x:v>0</x:v>
      </x:c>
      <x:c r="E125" s="21" t="str">
        <x:v>umami, sour, sweet</x:v>
      </x:c>
      <x:c r="F125" s="21" t="str">
        <x:v>D - database non-salty annotation</x:v>
      </x:c>
      <x:c r="G125" s="21" t="str">
        <x:v>database annotation compilation (TastePeptidesDB); source test conditions not verified row by row</x:v>
      </x:c>
      <x:c r="H125" s="22" t="str">
        <x:v>TastePeptidesDB</x:v>
      </x:c>
    </x:row>
    <x:row r="126" ht="21.600000381469727" hidden="0" customHeight="1">
      <x:c r="A126" s="34" t="n">
        <x:v>123</x:v>
      </x:c>
      <x:c r="B126" s="35" t="str">
        <x:v>EL</x:v>
      </x:c>
      <x:c r="C126" s="35" t="n">
        <x:f>LEN(B126)</x:f>
        <x:v>2</x:v>
      </x:c>
      <x:c r="D126" s="35" t="n">
        <x:v>0</x:v>
      </x:c>
      <x:c r="E126" s="21" t="str">
        <x:v>umami, sour, bitter, sweet</x:v>
      </x:c>
      <x:c r="F126" s="21" t="str">
        <x:v>D - database non-salty annotation</x:v>
      </x:c>
      <x:c r="G126" s="21" t="str">
        <x:v>database annotation compilation (BIOPEP-UWM; TastePeptidesDB); source test conditions not verified row by row</x:v>
      </x:c>
      <x:c r="H126" s="22" t="str">
        <x:v>BIOPEP-UWM; TastePeptidesDB</x:v>
      </x:c>
    </x:row>
    <x:row r="127" ht="21.600000381469727" hidden="0" customHeight="1">
      <x:c r="A127" s="34" t="n">
        <x:v>124</x:v>
      </x:c>
      <x:c r="B127" s="35" t="str">
        <x:v>EV</x:v>
      </x:c>
      <x:c r="C127" s="35" t="n">
        <x:f>LEN(B127)</x:f>
        <x:v>2</x:v>
      </x:c>
      <x:c r="D127" s="35" t="n">
        <x:v>0</x:v>
      </x:c>
      <x:c r="E127" s="21" t="str">
        <x:v>umami, sour, bitter, sweet</x:v>
      </x:c>
      <x:c r="F127" s="21" t="str">
        <x:v>D - database non-salty annotation</x:v>
      </x:c>
      <x:c r="G127" s="21" t="str">
        <x:v>database annotation compilation (BIOPEP-UWM; TastePeptidesDB); source test conditions not verified row by row</x:v>
      </x:c>
      <x:c r="H127" s="22" t="str">
        <x:v>BIOPEP-UWM; TastePeptidesDB</x:v>
      </x:c>
    </x:row>
    <x:row r="128" ht="21.600000381469727" hidden="0" customHeight="1">
      <x:c r="A128" s="34" t="n">
        <x:v>125</x:v>
      </x:c>
      <x:c r="B128" s="35" t="str">
        <x:v>KF</x:v>
      </x:c>
      <x:c r="C128" s="35" t="n">
        <x:f>LEN(B128)</x:f>
        <x:v>2</x:v>
      </x:c>
      <x:c r="D128" s="35" t="n">
        <x:v>0</x:v>
      </x:c>
      <x:c r="E128" s="21" t="str">
        <x:v>bitter, sweet</x:v>
      </x:c>
      <x:c r="F128" s="21" t="str">
        <x:v>D - database non-salty annotation</x:v>
      </x:c>
      <x:c r="G128" s="21" t="str">
        <x:v>database annotation compilation (BIOPEP-UWM; TastePeptidesDB); source test conditions not verified row by row</x:v>
      </x:c>
      <x:c r="H128" s="22" t="str">
        <x:v>BIOPEP-UWM; TastePeptidesDB</x:v>
      </x:c>
    </x:row>
    <x:row r="129" ht="21.600000381469727" hidden="0" customHeight="1">
      <x:c r="A129" s="34" t="n">
        <x:v>126</x:v>
      </x:c>
      <x:c r="B129" s="35" t="str">
        <x:v>PC</x:v>
      </x:c>
      <x:c r="C129" s="35" t="n">
        <x:f>LEN(B129)</x:f>
        <x:v>2</x:v>
      </x:c>
      <x:c r="D129" s="35" t="n">
        <x:v>0</x:v>
      </x:c>
      <x:c r="E129" s="21" t="str">
        <x:v>sour, sweet</x:v>
      </x:c>
      <x:c r="F129" s="21" t="str">
        <x:v>D - database non-salty annotation</x:v>
      </x:c>
      <x:c r="G129" s="21" t="str">
        <x:v>database annotation compilation (TastePeptidesDB); source test conditions not verified row by row</x:v>
      </x:c>
      <x:c r="H129" s="22" t="str">
        <x:v>TastePeptidesDB</x:v>
      </x:c>
    </x:row>
    <x:row r="130" ht="21.600000381469727" hidden="0" customHeight="1">
      <x:c r="A130" s="34" t="n">
        <x:v>127</x:v>
      </x:c>
      <x:c r="B130" s="35" t="str">
        <x:v>PG</x:v>
      </x:c>
      <x:c r="C130" s="35" t="n">
        <x:f>LEN(B130)</x:f>
        <x:v>2</x:v>
      </x:c>
      <x:c r="D130" s="35" t="n">
        <x:v>0</x:v>
      </x:c>
      <x:c r="E130" s="21" t="str">
        <x:v>bitter, sweet</x:v>
      </x:c>
      <x:c r="F130" s="21" t="str">
        <x:v>D - database non-salty annotation</x:v>
      </x:c>
      <x:c r="G130" s="21" t="str">
        <x:v>database annotation compilation (BIOPEP-UWM; TastePeptidesDB); source test conditions not verified row by row</x:v>
      </x:c>
      <x:c r="H130" s="22" t="str">
        <x:v>BIOPEP-UWM; TastePeptidesDB</x:v>
      </x:c>
    </x:row>
    <x:row r="131" ht="21.600000381469727" hidden="0" customHeight="1">
      <x:c r="A131" s="34" t="n">
        <x:v>128</x:v>
      </x:c>
      <x:c r="B131" s="35" t="str">
        <x:v>VP</x:v>
      </x:c>
      <x:c r="C131" s="35" t="n">
        <x:f>LEN(B131)</x:f>
        <x:v>2</x:v>
      </x:c>
      <x:c r="D131" s="35" t="n">
        <x:v>0</x:v>
      </x:c>
      <x:c r="E131" s="21" t="str">
        <x:v>sour, sweet</x:v>
      </x:c>
      <x:c r="F131" s="21" t="str">
        <x:v>D - database non-salty annotation</x:v>
      </x:c>
      <x:c r="G131" s="21" t="str">
        <x:v>database annotation compilation (BIOPEP-UWM); source test conditions not verified row by row</x:v>
      </x:c>
      <x:c r="H131" s="22" t="str">
        <x:v>BIOPEP-UWM</x:v>
      </x:c>
    </x:row>
    <x:row r="132" ht="21.600000381469727" hidden="0" customHeight="1">
      <x:c r="A132" s="34" t="n">
        <x:v>129</x:v>
      </x:c>
      <x:c r="B132" s="35" t="str">
        <x:v>AAG</x:v>
      </x:c>
      <x:c r="C132" s="35" t="n">
        <x:f>LEN(B132)</x:f>
        <x:v>3</x:v>
      </x:c>
      <x:c r="D132" s="35" t="n">
        <x:v>0</x:v>
      </x:c>
      <x:c r="E132" s="21" t="str">
        <x:v>sweet</x:v>
      </x:c>
      <x:c r="F132" s="21" t="str">
        <x:v>D - database non-salty annotation</x:v>
      </x:c>
      <x:c r="G132" s="21" t="str">
        <x:v>database annotation compilation (BIOPEP-UWM; TastePeptidesDB); source test conditions not verified row by row</x:v>
      </x:c>
      <x:c r="H132" s="22" t="str">
        <x:v>BIOPEP-UWM; TastePeptidesDB</x:v>
      </x:c>
    </x:row>
    <x:row r="133" ht="21.600000381469727" hidden="0" customHeight="1">
      <x:c r="A133" s="34" t="n">
        <x:v>130</x:v>
      </x:c>
      <x:c r="B133" s="35" t="str">
        <x:v>AGA</x:v>
      </x:c>
      <x:c r="C133" s="35" t="n">
        <x:f>LEN(B133)</x:f>
        <x:v>3</x:v>
      </x:c>
      <x:c r="D133" s="35" t="n">
        <x:v>0</x:v>
      </x:c>
      <x:c r="E133" s="21" t="str">
        <x:v>sweet</x:v>
      </x:c>
      <x:c r="F133" s="21" t="str">
        <x:v>D - database non-salty annotation</x:v>
      </x:c>
      <x:c r="G133" s="21" t="str">
        <x:v>database annotation compilation (BIOPEP-UWM; TastePeptidesDB); source test conditions not verified row by row</x:v>
      </x:c>
      <x:c r="H133" s="22" t="str">
        <x:v>BIOPEP-UWM; TastePeptidesDB</x:v>
      </x:c>
    </x:row>
    <x:row r="134" ht="21.600000381469727" hidden="0" customHeight="1">
      <x:c r="A134" s="34" t="n">
        <x:v>131</x:v>
      </x:c>
      <x:c r="B134" s="35" t="str">
        <x:v>AGG</x:v>
      </x:c>
      <x:c r="C134" s="35" t="n">
        <x:f>LEN(B134)</x:f>
        <x:v>3</x:v>
      </x:c>
      <x:c r="D134" s="35" t="n">
        <x:v>0</x:v>
      </x:c>
      <x:c r="E134" s="21" t="str">
        <x:v>sweet</x:v>
      </x:c>
      <x:c r="F134" s="21" t="str">
        <x:v>D - database non-salty annotation</x:v>
      </x:c>
      <x:c r="G134" s="21" t="str">
        <x:v>database annotation compilation (BIOPEP-UWM; TastePeptidesDB); source test conditions not verified row by row</x:v>
      </x:c>
      <x:c r="H134" s="22" t="str">
        <x:v>BIOPEP-UWM; TastePeptidesDB</x:v>
      </x:c>
    </x:row>
    <x:row r="135" ht="21.600000381469727" hidden="0" customHeight="1">
      <x:c r="A135" s="34" t="n">
        <x:v>132</x:v>
      </x:c>
      <x:c r="B135" s="35" t="str">
        <x:v>GAA</x:v>
      </x:c>
      <x:c r="C135" s="35" t="n">
        <x:f>LEN(B135)</x:f>
        <x:v>3</x:v>
      </x:c>
      <x:c r="D135" s="35" t="n">
        <x:v>0</x:v>
      </x:c>
      <x:c r="E135" s="21" t="str">
        <x:v>sweet</x:v>
      </x:c>
      <x:c r="F135" s="21" t="str">
        <x:v>D - database non-salty annotation</x:v>
      </x:c>
      <x:c r="G135" s="21" t="str">
        <x:v>database annotation compilation (BIOPEP-UWM; TastePeptidesDB); source test conditions not verified row by row</x:v>
      </x:c>
      <x:c r="H135" s="22" t="str">
        <x:v>BIOPEP-UWM; TastePeptidesDB</x:v>
      </x:c>
    </x:row>
    <x:row r="136" ht="21.600000381469727" hidden="0" customHeight="1">
      <x:c r="A136" s="34" t="n">
        <x:v>133</x:v>
      </x:c>
      <x:c r="B136" s="35" t="str">
        <x:v>GAG</x:v>
      </x:c>
      <x:c r="C136" s="35" t="n">
        <x:f>LEN(B136)</x:f>
        <x:v>3</x:v>
      </x:c>
      <x:c r="D136" s="35" t="n">
        <x:v>0</x:v>
      </x:c>
      <x:c r="E136" s="21" t="str">
        <x:v>sweet</x:v>
      </x:c>
      <x:c r="F136" s="21" t="str">
        <x:v>D - database non-salty annotation</x:v>
      </x:c>
      <x:c r="G136" s="21" t="str">
        <x:v>database annotation compilation (BIOPEP-UWM; TastePeptidesDB); source test conditions not verified row by row</x:v>
      </x:c>
      <x:c r="H136" s="22" t="str">
        <x:v>BIOPEP-UWM; TastePeptidesDB</x:v>
      </x:c>
    </x:row>
    <x:row r="137" ht="21.600000381469727" hidden="0" customHeight="1">
      <x:c r="A137" s="34" t="n">
        <x:v>134</x:v>
      </x:c>
      <x:c r="B137" s="35" t="str">
        <x:v>GGA</x:v>
      </x:c>
      <x:c r="C137" s="35" t="n">
        <x:f>LEN(B137)</x:f>
        <x:v>3</x:v>
      </x:c>
      <x:c r="D137" s="35" t="n">
        <x:v>0</x:v>
      </x:c>
      <x:c r="E137" s="21" t="str">
        <x:v>sweet</x:v>
      </x:c>
      <x:c r="F137" s="21" t="str">
        <x:v>D - database non-salty annotation</x:v>
      </x:c>
      <x:c r="G137" s="21" t="str">
        <x:v>database annotation compilation (BIOPEP-UWM; TastePeptidesDB); source test conditions not verified row by row</x:v>
      </x:c>
      <x:c r="H137" s="22" t="str">
        <x:v>BIOPEP-UWM; TastePeptidesDB</x:v>
      </x:c>
    </x:row>
    <x:row r="138" ht="21.600000381469727" hidden="0" customHeight="1">
      <x:c r="A138" s="34" t="n">
        <x:v>135</x:v>
      </x:c>
      <x:c r="B138" s="35" t="str">
        <x:v>VGV</x:v>
      </x:c>
      <x:c r="C138" s="35" t="n">
        <x:f>LEN(B138)</x:f>
        <x:v>3</x:v>
      </x:c>
      <x:c r="D138" s="35" t="n">
        <x:v>0</x:v>
      </x:c>
      <x:c r="E138" s="21" t="str">
        <x:v>sweet</x:v>
      </x:c>
      <x:c r="F138" s="21" t="str">
        <x:v>D - database non-salty annotation</x:v>
      </x:c>
      <x:c r="G138" s="21" t="str">
        <x:v>database annotation compilation (BIOPEP-UWM; TastePeptidesDB); source test conditions not verified row by row</x:v>
      </x:c>
      <x:c r="H138" s="22" t="str">
        <x:v>BIOPEP-UWM; TastePeptidesDB</x:v>
      </x:c>
    </x:row>
    <x:row r="139" ht="21.600000381469727" hidden="0" customHeight="1">
      <x:c r="A139" s="34" t="n">
        <x:v>136</x:v>
      </x:c>
      <x:c r="B139" s="35" t="str">
        <x:v>DATE</x:v>
      </x:c>
      <x:c r="C139" s="35" t="n">
        <x:f>LEN(B139)</x:f>
        <x:v>4</x:v>
      </x:c>
      <x:c r="D139" s="35" t="n">
        <x:v>0</x:v>
      </x:c>
      <x:c r="E139" s="21" t="str">
        <x:v>umami, sweet</x:v>
      </x:c>
      <x:c r="F139" s="21" t="str">
        <x:v>D - database non-salty annotation</x:v>
      </x:c>
      <x:c r="G139" s="21" t="str">
        <x:v>database annotation compilation (TastePeptidesDB); source test conditions not verified row by row</x:v>
      </x:c>
      <x:c r="H139" s="22" t="str">
        <x:v>TastePeptidesDB</x:v>
      </x:c>
    </x:row>
    <x:row r="140" ht="21.600000381469727" hidden="0" customHeight="1">
      <x:c r="A140" s="34" t="n">
        <x:v>137</x:v>
      </x:c>
      <x:c r="B140" s="35" t="str">
        <x:v>DERF</x:v>
      </x:c>
      <x:c r="C140" s="35" t="n">
        <x:f>LEN(B140)</x:f>
        <x:v>4</x:v>
      </x:c>
      <x:c r="D140" s="35" t="n">
        <x:v>0</x:v>
      </x:c>
      <x:c r="E140" s="21" t="str">
        <x:v>umami, sour, sweet</x:v>
      </x:c>
      <x:c r="F140" s="21" t="str">
        <x:v>D - database non-salty annotation</x:v>
      </x:c>
      <x:c r="G140" s="21" t="str">
        <x:v>database annotation compilation (TastePeptidesDB); source test conditions not verified row by row</x:v>
      </x:c>
      <x:c r="H140" s="22" t="str">
        <x:v>TastePeptidesDB</x:v>
      </x:c>
    </x:row>
    <x:row r="141" ht="21.600000381469727" hidden="0" customHeight="1">
      <x:c r="A141" s="34" t="n">
        <x:v>138</x:v>
      </x:c>
      <x:c r="B141" s="35" t="str">
        <x:v>EDAP</x:v>
      </x:c>
      <x:c r="C141" s="35" t="n">
        <x:f>LEN(B141)</x:f>
        <x:v>4</x:v>
      </x:c>
      <x:c r="D141" s="35" t="n">
        <x:v>0</x:v>
      </x:c>
      <x:c r="E141" s="21" t="str">
        <x:v>umami, sweet</x:v>
      </x:c>
      <x:c r="F141" s="21" t="str">
        <x:v>D - database non-salty annotation</x:v>
      </x:c>
      <x:c r="G141" s="21" t="str">
        <x:v>database annotation compilation (TastePeptidesDB); source test conditions not verified row by row</x:v>
      </x:c>
      <x:c r="H141" s="22" t="str">
        <x:v>TastePeptidesDB</x:v>
      </x:c>
    </x:row>
    <x:row r="142" ht="21.600000381469727" hidden="0" customHeight="1">
      <x:c r="A142" s="34" t="n">
        <x:v>139</x:v>
      </x:c>
      <x:c r="B142" s="35" t="str">
        <x:v>QFLR</x:v>
      </x:c>
      <x:c r="C142" s="35" t="n">
        <x:f>LEN(B142)</x:f>
        <x:v>4</x:v>
      </x:c>
      <x:c r="D142" s="35" t="n">
        <x:v>0</x:v>
      </x:c>
      <x:c r="E142" s="21" t="str">
        <x:v>umami, sour, sweet</x:v>
      </x:c>
      <x:c r="F142" s="21" t="str">
        <x:v>D - database non-salty annotation</x:v>
      </x:c>
      <x:c r="G142" s="21" t="str">
        <x:v>database annotation compilation (TastePeptidesDB); source test conditions not verified row by row</x:v>
      </x:c>
      <x:c r="H142" s="22" t="str">
        <x:v>TastePeptidesDB</x:v>
      </x:c>
    </x:row>
    <x:row r="143" ht="21.600000381469727" hidden="0" customHeight="1">
      <x:c r="A143" s="34" t="n">
        <x:v>140</x:v>
      </x:c>
      <x:c r="B143" s="35" t="str">
        <x:v>SGVQ</x:v>
      </x:c>
      <x:c r="C143" s="35" t="n">
        <x:f>LEN(B143)</x:f>
        <x:v>4</x:v>
      </x:c>
      <x:c r="D143" s="35" t="n">
        <x:v>0</x:v>
      </x:c>
      <x:c r="E143" s="21" t="str">
        <x:v>sour, sweet</x:v>
      </x:c>
      <x:c r="F143" s="21" t="str">
        <x:v>D - database non-salty annotation</x:v>
      </x:c>
      <x:c r="G143" s="21" t="str">
        <x:v>database annotation compilation (TastePeptidesDB); source test conditions not verified row by row</x:v>
      </x:c>
      <x:c r="H143" s="22" t="str">
        <x:v>TastePeptidesDB</x:v>
      </x:c>
    </x:row>
    <x:row r="144" ht="21.600000381469727" hidden="0" customHeight="1">
      <x:c r="A144" s="34" t="n">
        <x:v>141</x:v>
      </x:c>
      <x:c r="B144" s="35" t="str">
        <x:v>EEDGK</x:v>
      </x:c>
      <x:c r="C144" s="35" t="n">
        <x:f>LEN(B144)</x:f>
        <x:v>5</x:v>
      </x:c>
      <x:c r="D144" s="35" t="n">
        <x:v>0</x:v>
      </x:c>
      <x:c r="E144" s="21" t="str">
        <x:v>umami, sour, sweet</x:v>
      </x:c>
      <x:c r="F144" s="21" t="str">
        <x:v>D - database non-salty annotation</x:v>
      </x:c>
      <x:c r="G144" s="21" t="str">
        <x:v>database annotation compilation (BIOPEP-UWM; TastePeptidesDB); source test conditions not verified row by row</x:v>
      </x:c>
      <x:c r="H144" s="22" t="str">
        <x:v>BIOPEP-UWM; TastePeptidesDB</x:v>
      </x:c>
    </x:row>
    <x:row r="145" ht="21.600000381469727" hidden="0" customHeight="1">
      <x:c r="A145" s="34" t="n">
        <x:v>142</x:v>
      </x:c>
      <x:c r="B145" s="35" t="str">
        <x:v>EEEQR</x:v>
      </x:c>
      <x:c r="C145" s="35" t="n">
        <x:f>LEN(B145)</x:f>
        <x:v>5</x:v>
      </x:c>
      <x:c r="D145" s="35" t="n">
        <x:v>0</x:v>
      </x:c>
      <x:c r="E145" s="21" t="str">
        <x:v>sweet</x:v>
      </x:c>
      <x:c r="F145" s="21" t="str">
        <x:v>D - database non-salty annotation</x:v>
      </x:c>
      <x:c r="G145" s="21" t="str">
        <x:v>database annotation compilation (TastePeptidesDB); source test conditions not verified row by row</x:v>
      </x:c>
      <x:c r="H145" s="22" t="str">
        <x:v>TastePeptidesDB</x:v>
      </x:c>
    </x:row>
    <x:row r="146" ht="21.600000381469727" hidden="0" customHeight="1">
      <x:c r="A146" s="34" t="n">
        <x:v>143</x:v>
      </x:c>
      <x:c r="B146" s="35" t="str">
        <x:v>ISKEK</x:v>
      </x:c>
      <x:c r="C146" s="35" t="n">
        <x:f>LEN(B146)</x:f>
        <x:v>5</x:v>
      </x:c>
      <x:c r="D146" s="35" t="n">
        <x:v>0</x:v>
      </x:c>
      <x:c r="E146" s="21" t="str">
        <x:v>umami, sweet</x:v>
      </x:c>
      <x:c r="F146" s="21" t="str">
        <x:v>D - database non-salty annotation</x:v>
      </x:c>
      <x:c r="G146" s="21" t="str">
        <x:v>database annotation compilation (TastePeptidesDB); source test conditions not verified row by row</x:v>
      </x:c>
      <x:c r="H146" s="22" t="str">
        <x:v>TastePeptidesDB</x:v>
      </x:c>
    </x:row>
    <x:row r="147" ht="21.600000381469727" hidden="0" customHeight="1">
      <x:c r="A147" s="34" t="n">
        <x:v>144</x:v>
      </x:c>
      <x:c r="B147" s="35" t="str">
        <x:v>LPEEV</x:v>
      </x:c>
      <x:c r="C147" s="35" t="n">
        <x:f>LEN(B147)</x:f>
        <x:v>5</x:v>
      </x:c>
      <x:c r="D147" s="35" t="n">
        <x:v>0</x:v>
      </x:c>
      <x:c r="E147" s="21" t="str">
        <x:v>umami, sour, sweet</x:v>
      </x:c>
      <x:c r="F147" s="21" t="str">
        <x:v>D - database non-salty annotation</x:v>
      </x:c>
      <x:c r="G147" s="21" t="str">
        <x:v>database annotation compilation (BIOPEP-UWM; TastePeptidesDB); source test conditions not verified row by row</x:v>
      </x:c>
      <x:c r="H147" s="22" t="str">
        <x:v>BIOPEP-UWM; TastePeptidesDB</x:v>
      </x:c>
    </x:row>
    <x:row r="148" ht="21.600000381469727" hidden="0" customHeight="1">
      <x:c r="A148" s="34" t="n">
        <x:v>145</x:v>
      </x:c>
      <x:c r="B148" s="35" t="str">
        <x:v>NIIGA</x:v>
      </x:c>
      <x:c r="C148" s="35" t="n">
        <x:f>LEN(B148)</x:f>
        <x:v>5</x:v>
      </x:c>
      <x:c r="D148" s="35" t="n">
        <x:v>0</x:v>
      </x:c>
      <x:c r="E148" s="21" t="str">
        <x:v>umami, sweet</x:v>
      </x:c>
      <x:c r="F148" s="21" t="str">
        <x:v>D - database non-salty annotation</x:v>
      </x:c>
      <x:c r="G148" s="21" t="str">
        <x:v>database annotation compilation (TastePeptidesDB); source test conditions not verified row by row</x:v>
      </x:c>
      <x:c r="H148" s="22" t="str">
        <x:v>TastePeptidesDB</x:v>
      </x:c>
    </x:row>
    <x:row r="149" ht="21.600000381469727" hidden="0" customHeight="1">
      <x:c r="A149" s="34" t="n">
        <x:v>146</x:v>
      </x:c>
      <x:c r="B149" s="35" t="str">
        <x:v>ADGLWL</x:v>
      </x:c>
      <x:c r="C149" s="35" t="n">
        <x:f>LEN(B149)</x:f>
        <x:v>6</x:v>
      </x:c>
      <x:c r="D149" s="35" t="n">
        <x:v>0</x:v>
      </x:c>
      <x:c r="E149" s="21" t="str">
        <x:v>umami, sour, bitter, sweet</x:v>
      </x:c>
      <x:c r="F149" s="21" t="str">
        <x:v>D - database non-salty annotation</x:v>
      </x:c>
      <x:c r="G149" s="21" t="str">
        <x:v>database annotation compilation (TastePeptidesDB); source test conditions not verified row by row</x:v>
      </x:c>
      <x:c r="H149" s="22" t="str">
        <x:v>TastePeptidesDB</x:v>
      </x:c>
    </x:row>
    <x:row r="150" ht="21.600000381469727" hidden="0" customHeight="1">
      <x:c r="A150" s="34" t="n">
        <x:v>147</x:v>
      </x:c>
      <x:c r="B150" s="35" t="str">
        <x:v>DALKKK</x:v>
      </x:c>
      <x:c r="C150" s="35" t="n">
        <x:f>LEN(B150)</x:f>
        <x:v>6</x:v>
      </x:c>
      <x:c r="D150" s="35" t="n">
        <x:v>0</x:v>
      </x:c>
      <x:c r="E150" s="21" t="str">
        <x:v>umami, sweet</x:v>
      </x:c>
      <x:c r="F150" s="21" t="str">
        <x:v>D - database non-salty annotation</x:v>
      </x:c>
      <x:c r="G150" s="21" t="str">
        <x:v>database annotation compilation (TastePeptidesDB); source test conditions not verified row by row</x:v>
      </x:c>
      <x:c r="H150" s="22" t="str">
        <x:v>TastePeptidesDB</x:v>
      </x:c>
    </x:row>
    <x:row r="151" ht="21.600000381469727" hidden="0" customHeight="1">
      <x:c r="A151" s="34" t="n">
        <x:v>148</x:v>
      </x:c>
      <x:c r="B151" s="35" t="str">
        <x:v>DTYNPR</x:v>
      </x:c>
      <x:c r="C151" s="35" t="n">
        <x:f>LEN(B151)</x:f>
        <x:v>6</x:v>
      </x:c>
      <x:c r="D151" s="35" t="n">
        <x:v>0</x:v>
      </x:c>
      <x:c r="E151" s="21" t="str">
        <x:v>umami, sour, sweet</x:v>
      </x:c>
      <x:c r="F151" s="21" t="str">
        <x:v>D - database non-salty annotation</x:v>
      </x:c>
      <x:c r="G151" s="21" t="str">
        <x:v>database annotation compilation (BIOPEP-UWM; TastePeptidesDB); source test conditions not verified row by row</x:v>
      </x:c>
      <x:c r="H151" s="22" t="str">
        <x:v>BIOPEP-UWM; TastePeptidesDB</x:v>
      </x:c>
    </x:row>
    <x:row r="152" ht="21.600000381469727" hidden="0" customHeight="1">
      <x:c r="A152" s="34" t="n">
        <x:v>149</x:v>
      </x:c>
      <x:c r="B152" s="35" t="str">
        <x:v>HVKELE</x:v>
      </x:c>
      <x:c r="C152" s="35" t="n">
        <x:f>LEN(B152)</x:f>
        <x:v>6</x:v>
      </x:c>
      <x:c r="D152" s="35" t="n">
        <x:v>0</x:v>
      </x:c>
      <x:c r="E152" s="21" t="str">
        <x:v>umami, sweet</x:v>
      </x:c>
      <x:c r="F152" s="21" t="str">
        <x:v>D - database non-salty annotation</x:v>
      </x:c>
      <x:c r="G152" s="21" t="str">
        <x:v>database annotation compilation (TastePeptidesDB); source test conditions not verified row by row</x:v>
      </x:c>
      <x:c r="H152" s="22" t="str">
        <x:v>TastePeptidesDB</x:v>
      </x:c>
    </x:row>
    <x:row r="153" ht="21.600000381469727" hidden="0" customHeight="1">
      <x:c r="A153" s="34" t="n">
        <x:v>150</x:v>
      </x:c>
      <x:c r="B153" s="35" t="str">
        <x:v>FEGGSIE</x:v>
      </x:c>
      <x:c r="C153" s="35" t="n">
        <x:f>LEN(B153)</x:f>
        <x:v>7</x:v>
      </x:c>
      <x:c r="D153" s="35" t="n">
        <x:v>0</x:v>
      </x:c>
      <x:c r="E153" s="21" t="str">
        <x:v>sweet</x:v>
      </x:c>
      <x:c r="F153" s="21" t="str">
        <x:v>D - database non-salty annotation</x:v>
      </x:c>
      <x:c r="G153" s="21" t="str">
        <x:v>database annotation compilation (TastePeptidesDB); source test conditions not verified row by row</x:v>
      </x:c>
      <x:c r="H153" s="22" t="str">
        <x:v>TastePeptidesDB</x:v>
      </x:c>
    </x:row>
    <x:row r="154" ht="21.600000381469727" hidden="0" customHeight="1">
      <x:c r="A154" s="34" t="n">
        <x:v>151</x:v>
      </x:c>
      <x:c r="B154" s="35" t="str">
        <x:v>ISWCFTY</x:v>
      </x:c>
      <x:c r="C154" s="35" t="n">
        <x:f>LEN(B154)</x:f>
        <x:v>7</x:v>
      </x:c>
      <x:c r="D154" s="35" t="n">
        <x:v>0</x:v>
      </x:c>
      <x:c r="E154" s="21" t="str">
        <x:v>umami, sweet</x:v>
      </x:c>
      <x:c r="F154" s="21" t="str">
        <x:v>D - database non-salty annotation</x:v>
      </x:c>
      <x:c r="G154" s="21" t="str">
        <x:v>database annotation compilation (TastePeptidesDB); source test conditions not verified row by row</x:v>
      </x:c>
      <x:c r="H154" s="22" t="str">
        <x:v>TastePeptidesDB</x:v>
      </x:c>
    </x:row>
    <x:row r="155" ht="21.600000381469727" hidden="0" customHeight="1">
      <x:c r="A155" s="34" t="n">
        <x:v>152</x:v>
      </x:c>
      <x:c r="B155" s="35" t="str">
        <x:v>LLLHALL</x:v>
      </x:c>
      <x:c r="C155" s="35" t="n">
        <x:f>LEN(B155)</x:f>
        <x:v>7</x:v>
      </x:c>
      <x:c r="D155" s="35" t="n">
        <x:v>0</x:v>
      </x:c>
      <x:c r="E155" s="21" t="str">
        <x:v>bitter, sweet</x:v>
      </x:c>
      <x:c r="F155" s="21" t="str">
        <x:v>D - database non-salty annotation</x:v>
      </x:c>
      <x:c r="G155" s="21" t="str">
        <x:v>database annotation compilation (TastePeptidesDB); source test conditions not verified row by row</x:v>
      </x:c>
      <x:c r="H155" s="22" t="str">
        <x:v>TastePeptidesDB</x:v>
      </x:c>
    </x:row>
    <x:row r="156" ht="21.600000381469727" hidden="0" customHeight="1">
      <x:c r="A156" s="34" t="n">
        <x:v>153</x:v>
      </x:c>
      <x:c r="B156" s="35" t="str">
        <x:v>MNLHLSF</x:v>
      </x:c>
      <x:c r="C156" s="35" t="n">
        <x:f>LEN(B156)</x:f>
        <x:v>7</x:v>
      </x:c>
      <x:c r="D156" s="35" t="n">
        <x:v>0</x:v>
      </x:c>
      <x:c r="E156" s="21" t="str">
        <x:v>umami, bitter, sweet</x:v>
      </x:c>
      <x:c r="F156" s="21" t="str">
        <x:v>D - database non-salty annotation</x:v>
      </x:c>
      <x:c r="G156" s="21" t="str">
        <x:v>database annotation compilation (TastePeptidesDB); source test conditions not verified row by row</x:v>
      </x:c>
      <x:c r="H156" s="22" t="str">
        <x:v>TastePeptidesDB</x:v>
      </x:c>
    </x:row>
    <x:row r="157" ht="21.600000381469727" hidden="0" customHeight="1">
      <x:c r="A157" s="34" t="n">
        <x:v>154</x:v>
      </x:c>
      <x:c r="B157" s="35" t="str">
        <x:v>PAATIPE</x:v>
      </x:c>
      <x:c r="C157" s="35" t="n">
        <x:f>LEN(B157)</x:f>
        <x:v>7</x:v>
      </x:c>
      <x:c r="D157" s="35" t="n">
        <x:v>0</x:v>
      </x:c>
      <x:c r="E157" s="21" t="str">
        <x:v>umami, sour, bitter, sweet</x:v>
      </x:c>
      <x:c r="F157" s="21" t="str">
        <x:v>D - database non-salty annotation</x:v>
      </x:c>
      <x:c r="G157" s="21" t="str">
        <x:v>database annotation compilation (TastePeptidesDB); source test conditions not verified row by row</x:v>
      </x:c>
      <x:c r="H157" s="22" t="str">
        <x:v>TastePeptidesDB</x:v>
      </x:c>
    </x:row>
    <x:row r="158" ht="21.600000381469727" hidden="0" customHeight="1">
      <x:c r="A158" s="34" t="n">
        <x:v>155</x:v>
      </x:c>
      <x:c r="B158" s="35" t="str">
        <x:v>YYGSNSA</x:v>
      </x:c>
      <x:c r="C158" s="35" t="n">
        <x:f>LEN(B158)</x:f>
        <x:v>7</x:v>
      </x:c>
      <x:c r="D158" s="35" t="n">
        <x:v>0</x:v>
      </x:c>
      <x:c r="E158" s="21" t="str">
        <x:v>sour, sweet</x:v>
      </x:c>
      <x:c r="F158" s="21" t="str">
        <x:v>D - database non-salty annotation</x:v>
      </x:c>
      <x:c r="G158" s="21" t="str">
        <x:v>database annotation compilation (TastePeptidesDB); source test conditions not verified row by row</x:v>
      </x:c>
      <x:c r="H158" s="22" t="str">
        <x:v>TastePeptidesDB</x:v>
      </x:c>
    </x:row>
    <x:row r="159" ht="21.600000381469727" hidden="0" customHeight="1">
      <x:c r="A159" s="34" t="n">
        <x:v>156</x:v>
      </x:c>
      <x:c r="B159" s="35" t="str">
        <x:v>AFTSYDRT</x:v>
      </x:c>
      <x:c r="C159" s="35" t="n">
        <x:f>LEN(B159)</x:f>
        <x:v>8</x:v>
      </x:c>
      <x:c r="D159" s="35" t="n">
        <x:v>0</x:v>
      </x:c>
      <x:c r="E159" s="21" t="str">
        <x:v>sweet</x:v>
      </x:c>
      <x:c r="F159" s="21" t="str">
        <x:v>D - database non-salty annotation</x:v>
      </x:c>
      <x:c r="G159" s="21" t="str">
        <x:v>database annotation compilation (TastePeptidesDB); source test conditions not verified row by row</x:v>
      </x:c>
      <x:c r="H159" s="22" t="str">
        <x:v>TastePeptidesDB</x:v>
      </x:c>
    </x:row>
    <x:row r="160" ht="21.600000381469727" hidden="0" customHeight="1">
      <x:c r="A160" s="34" t="n">
        <x:v>157</x:v>
      </x:c>
      <x:c r="B160" s="35" t="str">
        <x:v>AQALQAQA</x:v>
      </x:c>
      <x:c r="C160" s="35" t="n">
        <x:f>LEN(B160)</x:f>
        <x:v>8</x:v>
      </x:c>
      <x:c r="D160" s="35" t="n">
        <x:v>0</x:v>
      </x:c>
      <x:c r="E160" s="21" t="str">
        <x:v>umami, sweet</x:v>
      </x:c>
      <x:c r="F160" s="21" t="str">
        <x:v>D - database non-salty annotation</x:v>
      </x:c>
      <x:c r="G160" s="21" t="str">
        <x:v>database annotation compilation (BIOPEP-UWM; TastePeptidesDB); source test conditions not verified row by row</x:v>
      </x:c>
      <x:c r="H160" s="22" t="str">
        <x:v>BIOPEP-UWM; TastePeptidesDB</x:v>
      </x:c>
    </x:row>
    <x:row r="161" ht="21.600000381469727" hidden="0" customHeight="1">
      <x:c r="A161" s="34" t="n">
        <x:v>158</x:v>
      </x:c>
      <x:c r="B161" s="35" t="str">
        <x:v>IPIPATKT</x:v>
      </x:c>
      <x:c r="C161" s="35" t="n">
        <x:f>LEN(B161)</x:f>
        <x:v>8</x:v>
      </x:c>
      <x:c r="D161" s="35" t="n">
        <x:v>0</x:v>
      </x:c>
      <x:c r="E161" s="21" t="str">
        <x:v>umami, sweet</x:v>
      </x:c>
      <x:c r="F161" s="21" t="str">
        <x:v>D - database non-salty annotation</x:v>
      </x:c>
      <x:c r="G161" s="21" t="str">
        <x:v>database annotation compilation (BIOPEP-UWM; TastePeptidesDB); source test conditions not verified row by row</x:v>
      </x:c>
      <x:c r="H161" s="22" t="str">
        <x:v>BIOPEP-UWM; TastePeptidesDB</x:v>
      </x:c>
    </x:row>
    <x:row r="162" ht="21.600000381469727" hidden="0" customHeight="1">
      <x:c r="A162" s="34" t="n">
        <x:v>159</x:v>
      </x:c>
      <x:c r="B162" s="35" t="str">
        <x:v>KVDVDSLK</x:v>
      </x:c>
      <x:c r="C162" s="35" t="n">
        <x:f>LEN(B162)</x:f>
        <x:v>8</x:v>
      </x:c>
      <x:c r="D162" s="35" t="n">
        <x:v>0</x:v>
      </x:c>
      <x:c r="E162" s="21" t="str">
        <x:v>umami, sweet</x:v>
      </x:c>
      <x:c r="F162" s="21" t="str">
        <x:v>D - database non-salty annotation</x:v>
      </x:c>
      <x:c r="G162" s="21" t="str">
        <x:v>database annotation compilation (BIOPEP-UWM; TastePeptidesDB); source test conditions not verified row by row</x:v>
      </x:c>
      <x:c r="H162" s="22" t="str">
        <x:v>BIOPEP-UWM; TastePeptidesDB</x:v>
      </x:c>
    </x:row>
    <x:row r="163" ht="21.600000381469727" hidden="0" customHeight="1">
      <x:c r="A163" s="34" t="n">
        <x:v>160</x:v>
      </x:c>
      <x:c r="B163" s="35" t="str">
        <x:v>LLLPGELAK</x:v>
      </x:c>
      <x:c r="C163" s="35" t="n">
        <x:f>LEN(B163)</x:f>
        <x:v>9</x:v>
      </x:c>
      <x:c r="D163" s="35" t="n">
        <x:v>0</x:v>
      </x:c>
      <x:c r="E163" s="21" t="str">
        <x:v>umami, sweet</x:v>
      </x:c>
      <x:c r="F163" s="21" t="str">
        <x:v>D - database non-salty annotation</x:v>
      </x:c>
      <x:c r="G163" s="21" t="str">
        <x:v>database annotation compilation (BIOPEP-UWM; TastePeptidesDB); source test conditions not verified row by row</x:v>
      </x:c>
      <x:c r="H163" s="22" t="str">
        <x:v>BIOPEP-UWM; TastePeptidesDB</x:v>
      </x:c>
    </x:row>
    <x:row r="164" ht="21.600000381469727" hidden="0" customHeight="1">
      <x:c r="A164" s="34" t="n">
        <x:v>161</x:v>
      </x:c>
      <x:c r="B164" s="35" t="str">
        <x:v>EFVDIINSRN</x:v>
      </x:c>
      <x:c r="C164" s="35" t="n">
        <x:f>LEN(B164)</x:f>
        <x:v>10</x:v>
      </x:c>
      <x:c r="D164" s="35" t="n">
        <x:v>0</x:v>
      </x:c>
      <x:c r="E164" s="21" t="str">
        <x:v>sweet</x:v>
      </x:c>
      <x:c r="F164" s="21" t="str">
        <x:v>D - database non-salty annotation</x:v>
      </x:c>
      <x:c r="G164" s="21" t="str">
        <x:v>database annotation compilation (TastePeptidesDB); source test conditions not verified row by row</x:v>
      </x:c>
      <x:c r="H164" s="22" t="str">
        <x:v>TastePeptidesDB</x:v>
      </x:c>
    </x:row>
    <x:row r="165" ht="21.600000381469727" hidden="0" customHeight="1">
      <x:c r="A165" s="34" t="n">
        <x:v>162</x:v>
      </x:c>
      <x:c r="B165" s="35" t="str">
        <x:v>FNEIIKETST</x:v>
      </x:c>
      <x:c r="C165" s="35" t="n">
        <x:f>LEN(B165)</x:f>
        <x:v>10</x:v>
      </x:c>
      <x:c r="D165" s="35" t="n">
        <x:v>0</x:v>
      </x:c>
      <x:c r="E165" s="21" t="str">
        <x:v>umami, sweet</x:v>
      </x:c>
      <x:c r="F165" s="21" t="str">
        <x:v>D - database non-salty annotation</x:v>
      </x:c>
      <x:c r="G165" s="21" t="str">
        <x:v>database annotation compilation (TastePeptidesDB); source test conditions not verified row by row</x:v>
      </x:c>
      <x:c r="H165" s="22" t="str">
        <x:v>TastePeptidesDB</x:v>
      </x:c>
    </x:row>
    <x:row r="166" ht="21.600000381469727" hidden="0" customHeight="1">
      <x:c r="A166" s="34" t="n">
        <x:v>163</x:v>
      </x:c>
      <x:c r="B166" s="35" t="str">
        <x:v>GYSFTTTAER</x:v>
      </x:c>
      <x:c r="C166" s="35" t="n">
        <x:f>LEN(B166)</x:f>
        <x:v>10</x:v>
      </x:c>
      <x:c r="D166" s="35" t="n">
        <x:v>0</x:v>
      </x:c>
      <x:c r="E166" s="21" t="str">
        <x:v>umami, sweet</x:v>
      </x:c>
      <x:c r="F166" s="21" t="str">
        <x:v>D - database non-salty annotation</x:v>
      </x:c>
      <x:c r="G166" s="21" t="str">
        <x:v>database annotation compilation (BIOPEP-UWM; TastePeptidesDB); source test conditions not verified row by row</x:v>
      </x:c>
      <x:c r="H166" s="22" t="str">
        <x:v>BIOPEP-UWM; TastePeptidesDB</x:v>
      </x:c>
    </x:row>
    <x:row r="167" ht="21.600000381469727" hidden="0" customHeight="1">
      <x:c r="A167" s="34" t="n">
        <x:v>164</x:v>
      </x:c>
      <x:c r="B167" s="35" t="str">
        <x:v>AVLEEAQKVELK</x:v>
      </x:c>
      <x:c r="C167" s="35" t="n">
        <x:f>LEN(B167)</x:f>
        <x:v>12</x:v>
      </x:c>
      <x:c r="D167" s="35" t="n">
        <x:v>0</x:v>
      </x:c>
      <x:c r="E167" s="21" t="str">
        <x:v>umami, sweet</x:v>
      </x:c>
      <x:c r="F167" s="21" t="str">
        <x:v>D - database non-salty annotation</x:v>
      </x:c>
      <x:c r="G167" s="21" t="str">
        <x:v>database annotation compilation (BIOPEP-UWM; TastePeptidesDB); source test conditions not verified row by row</x:v>
      </x:c>
      <x:c r="H167" s="22" t="str">
        <x:v>BIOPEP-UWM; TastePeptidesDB</x:v>
      </x:c>
    </x:row>
    <x:row r="168" ht="21.600000381469727" hidden="0" customHeight="1">
      <x:c r="A168" s="34" t="n">
        <x:v>165</x:v>
      </x:c>
      <x:c r="B168" s="35" t="str">
        <x:v>AE</x:v>
      </x:c>
      <x:c r="C168" s="35" t="n">
        <x:f>LEN(B168)</x:f>
        <x:v>2</x:v>
      </x:c>
      <x:c r="D168" s="35" t="n">
        <x:v>0</x:v>
      </x:c>
      <x:c r="E168" s="21" t="str">
        <x:v>umami</x:v>
      </x:c>
      <x:c r="F168" s="21" t="str">
        <x:v>D - database non-salty annotation</x:v>
      </x:c>
      <x:c r="G168" s="21" t="str">
        <x:v>database annotation compilation (BIOPEP-UWM; TastePeptidesDB); source test conditions not verified row by row</x:v>
      </x:c>
      <x:c r="H168" s="22" t="str">
        <x:v>BIOPEP-UWM; TastePeptidesDB</x:v>
      </x:c>
    </x:row>
    <x:row r="169" ht="21.600000381469727" hidden="0" customHeight="1">
      <x:c r="A169" s="34" t="n">
        <x:v>166</x:v>
      </x:c>
      <x:c r="B169" s="35" t="str">
        <x:v>DG</x:v>
      </x:c>
      <x:c r="C169" s="35" t="n">
        <x:f>LEN(B169)</x:f>
        <x:v>2</x:v>
      </x:c>
      <x:c r="D169" s="35" t="n">
        <x:v>0</x:v>
      </x:c>
      <x:c r="E169" s="21" t="str">
        <x:v>umami, bitter</x:v>
      </x:c>
      <x:c r="F169" s="21" t="str">
        <x:v>D - database non-salty annotation</x:v>
      </x:c>
      <x:c r="G169" s="21" t="str">
        <x:v>database annotation compilation (BIOPEP-UWM; TastePeptidesDB); source test conditions not verified row by row</x:v>
      </x:c>
      <x:c r="H169" s="22" t="str">
        <x:v>BIOPEP-UWM; TastePeptidesDB</x:v>
      </x:c>
    </x:row>
    <x:row r="170" ht="21.600000381469727" hidden="0" customHeight="1">
      <x:c r="A170" s="34" t="n">
        <x:v>167</x:v>
      </x:c>
      <x:c r="B170" s="35" t="str">
        <x:v>ES</x:v>
      </x:c>
      <x:c r="C170" s="35" t="n">
        <x:f>LEN(B170)</x:f>
        <x:v>2</x:v>
      </x:c>
      <x:c r="D170" s="35" t="n">
        <x:v>0</x:v>
      </x:c>
      <x:c r="E170" s="21" t="str">
        <x:v>umami</x:v>
      </x:c>
      <x:c r="F170" s="21" t="str">
        <x:v>D - database non-salty annotation</x:v>
      </x:c>
      <x:c r="G170" s="21" t="str">
        <x:v>database annotation compilation (BIOPEP-UWM; TastePeptidesDB); source test conditions not verified row by row</x:v>
      </x:c>
      <x:c r="H170" s="22" t="str">
        <x:v>BIOPEP-UWM; TastePeptidesDB</x:v>
      </x:c>
    </x:row>
    <x:row r="171" ht="21.600000381469727" hidden="0" customHeight="1">
      <x:c r="A171" s="34" t="n">
        <x:v>168</x:v>
      </x:c>
      <x:c r="B171" s="35" t="str">
        <x:v>LA</x:v>
      </x:c>
      <x:c r="C171" s="35" t="n">
        <x:f>LEN(B171)</x:f>
        <x:v>2</x:v>
      </x:c>
      <x:c r="D171" s="35" t="n">
        <x:v>0</x:v>
      </x:c>
      <x:c r="E171" s="21" t="str">
        <x:v>umami, bitter</x:v>
      </x:c>
      <x:c r="F171" s="21" t="str">
        <x:v>D - database non-salty annotation</x:v>
      </x:c>
      <x:c r="G171" s="21" t="str">
        <x:v>database annotation compilation (BIOPEP-UWM; TastePeptidesDB); source test conditions not verified row by row</x:v>
      </x:c>
      <x:c r="H171" s="22" t="str">
        <x:v>BIOPEP-UWM; TastePeptidesDB</x:v>
      </x:c>
    </x:row>
    <x:row r="172" ht="21.600000381469727" hidden="0" customHeight="1">
      <x:c r="A172" s="34" t="n">
        <x:v>169</x:v>
      </x:c>
      <x:c r="B172" s="35" t="str">
        <x:v>LV</x:v>
      </x:c>
      <x:c r="C172" s="35" t="n">
        <x:f>LEN(B172)</x:f>
        <x:v>2</x:v>
      </x:c>
      <x:c r="D172" s="35" t="n">
        <x:v>0</x:v>
      </x:c>
      <x:c r="E172" s="21" t="str">
        <x:v>umami, bitter</x:v>
      </x:c>
      <x:c r="F172" s="21" t="str">
        <x:v>D - database non-salty annotation</x:v>
      </x:c>
      <x:c r="G172" s="21" t="str">
        <x:v>database annotation compilation (BIOPEP-UWM; TastePeptidesDB); source test conditions not verified row by row</x:v>
      </x:c>
      <x:c r="H172" s="22" t="str">
        <x:v>BIOPEP-UWM; TastePeptidesDB</x:v>
      </x:c>
    </x:row>
    <x:row r="173" ht="21.600000381469727" hidden="0" customHeight="1">
      <x:c r="A173" s="34" t="n">
        <x:v>170</x:v>
      </x:c>
      <x:c r="B173" s="35" t="str">
        <x:v>NP</x:v>
      </x:c>
      <x:c r="C173" s="35" t="n">
        <x:f>LEN(B173)</x:f>
        <x:v>2</x:v>
      </x:c>
      <x:c r="D173" s="35" t="n">
        <x:v>0</x:v>
      </x:c>
      <x:c r="E173" s="21" t="str">
        <x:v>umami</x:v>
      </x:c>
      <x:c r="F173" s="21" t="str">
        <x:v>D - database non-salty annotation</x:v>
      </x:c>
      <x:c r="G173" s="21" t="str">
        <x:v>database annotation compilation (BIOPEP-UWM; TastePeptidesDB); source test conditions not verified row by row</x:v>
      </x:c>
      <x:c r="H173" s="22" t="str">
        <x:v>BIOPEP-UWM; TastePeptidesDB</x:v>
      </x:c>
    </x:row>
    <x:row r="174" ht="21.600000381469727" hidden="0" customHeight="1">
      <x:c r="A174" s="34" t="n">
        <x:v>171</x:v>
      </x:c>
      <x:c r="B174" s="35" t="str">
        <x:v>QL</x:v>
      </x:c>
      <x:c r="C174" s="35" t="n">
        <x:f>LEN(B174)</x:f>
        <x:v>2</x:v>
      </x:c>
      <x:c r="D174" s="35" t="n">
        <x:v>0</x:v>
      </x:c>
      <x:c r="E174" s="21" t="str">
        <x:v>umami</x:v>
      </x:c>
      <x:c r="F174" s="21" t="str">
        <x:v>D - database non-salty annotation</x:v>
      </x:c>
      <x:c r="G174" s="21" t="str">
        <x:v>database annotation compilation (TastePeptidesDB); source test conditions not verified row by row</x:v>
      </x:c>
      <x:c r="H174" s="22" t="str">
        <x:v>TastePeptidesDB</x:v>
      </x:c>
    </x:row>
    <x:row r="175" ht="21.600000381469727" hidden="0" customHeight="1">
      <x:c r="A175" s="34" t="n">
        <x:v>172</x:v>
      </x:c>
      <x:c r="B175" s="35" t="str">
        <x:v>TE</x:v>
      </x:c>
      <x:c r="C175" s="35" t="n">
        <x:f>LEN(B175)</x:f>
        <x:v>2</x:v>
      </x:c>
      <x:c r="D175" s="35" t="n">
        <x:v>0</x:v>
      </x:c>
      <x:c r="E175" s="21" t="str">
        <x:v>umami</x:v>
      </x:c>
      <x:c r="F175" s="21" t="str">
        <x:v>D - database non-salty annotation</x:v>
      </x:c>
      <x:c r="G175" s="21" t="str">
        <x:v>database annotation compilation (BIOPEP-UWM; TastePeptidesDB); source test conditions not verified row by row</x:v>
      </x:c>
      <x:c r="H175" s="22" t="str">
        <x:v>BIOPEP-UWM; TastePeptidesDB</x:v>
      </x:c>
    </x:row>
    <x:row r="176" ht="21.600000381469727" hidden="0" customHeight="1">
      <x:c r="A176" s="34" t="n">
        <x:v>173</x:v>
      </x:c>
      <x:c r="B176" s="35" t="str">
        <x:v>VF</x:v>
      </x:c>
      <x:c r="C176" s="35" t="n">
        <x:f>LEN(B176)</x:f>
        <x:v>2</x:v>
      </x:c>
      <x:c r="D176" s="35" t="n">
        <x:v>0</x:v>
      </x:c>
      <x:c r="E176" s="21" t="str">
        <x:v>umami, bitter</x:v>
      </x:c>
      <x:c r="F176" s="21" t="str">
        <x:v>D - database non-salty annotation</x:v>
      </x:c>
      <x:c r="G176" s="21" t="str">
        <x:v>database annotation compilation (BIOPEP-UWM; TastePeptidesDB); source test conditions not verified row by row</x:v>
      </x:c>
      <x:c r="H176" s="22" t="str">
        <x:v>BIOPEP-UWM; TastePeptidesDB</x:v>
      </x:c>
    </x:row>
    <x:row r="177" ht="21.600000381469727" hidden="0" customHeight="1">
      <x:c r="A177" s="34" t="n">
        <x:v>174</x:v>
      </x:c>
      <x:c r="B177" s="35" t="str">
        <x:v>AEA</x:v>
      </x:c>
      <x:c r="C177" s="35" t="n">
        <x:f>LEN(B177)</x:f>
        <x:v>3</x:v>
      </x:c>
      <x:c r="D177" s="35" t="n">
        <x:v>0</x:v>
      </x:c>
      <x:c r="E177" s="21" t="str">
        <x:v>umami</x:v>
      </x:c>
      <x:c r="F177" s="21" t="str">
        <x:v>D - database non-salty annotation</x:v>
      </x:c>
      <x:c r="G177" s="21" t="str">
        <x:v>database annotation compilation (BIOPEP-UWM; TastePeptidesDB); source test conditions not verified row by row</x:v>
      </x:c>
      <x:c r="H177" s="22" t="str">
        <x:v>BIOPEP-UWM; TastePeptidesDB</x:v>
      </x:c>
    </x:row>
    <x:row r="178" ht="21.600000381469727" hidden="0" customHeight="1">
      <x:c r="A178" s="34" t="n">
        <x:v>175</x:v>
      </x:c>
      <x:c r="B178" s="35" t="str">
        <x:v>EDF</x:v>
      </x:c>
      <x:c r="C178" s="35" t="n">
        <x:f>LEN(B178)</x:f>
        <x:v>3</x:v>
      </x:c>
      <x:c r="D178" s="35" t="n">
        <x:v>0</x:v>
      </x:c>
      <x:c r="E178" s="21" t="str">
        <x:v>umami</x:v>
      </x:c>
      <x:c r="F178" s="21" t="str">
        <x:v>D - database non-salty annotation</x:v>
      </x:c>
      <x:c r="G178" s="21" t="str">
        <x:v>database annotation compilation (BIOPEP-UWM; TastePeptidesDB); source test conditions not verified row by row</x:v>
      </x:c>
      <x:c r="H178" s="22" t="str">
        <x:v>BIOPEP-UWM; TastePeptidesDB</x:v>
      </x:c>
    </x:row>
    <x:row r="179" ht="21.600000381469727" hidden="0" customHeight="1">
      <x:c r="A179" s="34" t="n">
        <x:v>176</x:v>
      </x:c>
      <x:c r="B179" s="35" t="str">
        <x:v>EDV</x:v>
      </x:c>
      <x:c r="C179" s="35" t="n">
        <x:f>LEN(B179)</x:f>
        <x:v>3</x:v>
      </x:c>
      <x:c r="D179" s="35" t="n">
        <x:v>0</x:v>
      </x:c>
      <x:c r="E179" s="21" t="str">
        <x:v>umami</x:v>
      </x:c>
      <x:c r="F179" s="21" t="str">
        <x:v>D - database non-salty annotation</x:v>
      </x:c>
      <x:c r="G179" s="21" t="str">
        <x:v>database annotation compilation (BIOPEP-UWM; TastePeptidesDB); source test conditions not verified row by row</x:v>
      </x:c>
      <x:c r="H179" s="22" t="str">
        <x:v>BIOPEP-UWM; TastePeptidesDB</x:v>
      </x:c>
    </x:row>
    <x:row r="180" ht="21.600000381469727" hidden="0" customHeight="1">
      <x:c r="A180" s="34" t="n">
        <x:v>177</x:v>
      </x:c>
      <x:c r="B180" s="35" t="str">
        <x:v>EGS</x:v>
      </x:c>
      <x:c r="C180" s="35" t="n">
        <x:f>LEN(B180)</x:f>
        <x:v>3</x:v>
      </x:c>
      <x:c r="D180" s="35" t="n">
        <x:v>0</x:v>
      </x:c>
      <x:c r="E180" s="21" t="str">
        <x:v>umami</x:v>
      </x:c>
      <x:c r="F180" s="21" t="str">
        <x:v>D - database non-salty annotation</x:v>
      </x:c>
      <x:c r="G180" s="21" t="str">
        <x:v>database annotation compilation (BIOPEP-UWM; TastePeptidesDB); source test conditions not verified row by row</x:v>
      </x:c>
      <x:c r="H180" s="22" t="str">
        <x:v>BIOPEP-UWM; TastePeptidesDB</x:v>
      </x:c>
    </x:row>
    <x:row r="181" ht="21.600000381469727" hidden="0" customHeight="1">
      <x:c r="A181" s="34" t="n">
        <x:v>178</x:v>
      </x:c>
      <x:c r="B181" s="35" t="str">
        <x:v>GDG</x:v>
      </x:c>
      <x:c r="C181" s="35" t="n">
        <x:f>LEN(B181)</x:f>
        <x:v>3</x:v>
      </x:c>
      <x:c r="D181" s="35" t="n">
        <x:v>0</x:v>
      </x:c>
      <x:c r="E181" s="21" t="str">
        <x:v>umami</x:v>
      </x:c>
      <x:c r="F181" s="21" t="str">
        <x:v>D - database non-salty annotation</x:v>
      </x:c>
      <x:c r="G181" s="21" t="str">
        <x:v>database annotation compilation (BIOPEP-UWM; TastePeptidesDB); source test conditions not verified row by row</x:v>
      </x:c>
      <x:c r="H181" s="22" t="str">
        <x:v>BIOPEP-UWM; TastePeptidesDB</x:v>
      </x:c>
    </x:row>
    <x:row r="182" ht="21.600000381469727" hidden="0" customHeight="1">
      <x:c r="A182" s="34" t="n">
        <x:v>179</x:v>
      </x:c>
      <x:c r="B182" s="35" t="str">
        <x:v>VGG</x:v>
      </x:c>
      <x:c r="C182" s="35" t="n">
        <x:f>LEN(B182)</x:f>
        <x:v>3</x:v>
      </x:c>
      <x:c r="D182" s="35" t="n">
        <x:v>0</x:v>
      </x:c>
      <x:c r="E182" s="21" t="str">
        <x:v>umami</x:v>
      </x:c>
      <x:c r="F182" s="21" t="str">
        <x:v>D - database non-salty annotation</x:v>
      </x:c>
      <x:c r="G182" s="21" t="str">
        <x:v>database annotation compilation (BIOPEP-UWM; TastePeptidesDB); source test conditions not verified row by row</x:v>
      </x:c>
      <x:c r="H182" s="22" t="str">
        <x:v>BIOPEP-UWM; TastePeptidesDB</x:v>
      </x:c>
    </x:row>
    <x:row r="183" ht="21.600000381469727" hidden="0" customHeight="1">
      <x:c r="A183" s="34" t="n">
        <x:v>180</x:v>
      </x:c>
      <x:c r="B183" s="35" t="str">
        <x:v>AGCD</x:v>
      </x:c>
      <x:c r="C183" s="35" t="n">
        <x:f>LEN(B183)</x:f>
        <x:v>4</x:v>
      </x:c>
      <x:c r="D183" s="35" t="n">
        <x:v>0</x:v>
      </x:c>
      <x:c r="E183" s="21" t="str">
        <x:v>umami</x:v>
      </x:c>
      <x:c r="F183" s="21" t="str">
        <x:v>D - database non-salty annotation</x:v>
      </x:c>
      <x:c r="G183" s="21" t="str">
        <x:v>database annotation compilation (TastePeptidesDB); source test conditions not verified row by row</x:v>
      </x:c>
      <x:c r="H183" s="22" t="str">
        <x:v>TastePeptidesDB</x:v>
      </x:c>
    </x:row>
    <x:row r="184" ht="21.600000381469727" hidden="0" customHeight="1">
      <x:c r="A184" s="34" t="n">
        <x:v>181</x:v>
      </x:c>
      <x:c r="B184" s="35" t="str">
        <x:v>INEL</x:v>
      </x:c>
      <x:c r="C184" s="35" t="n">
        <x:f>LEN(B184)</x:f>
        <x:v>4</x:v>
      </x:c>
      <x:c r="D184" s="35" t="n">
        <x:v>0</x:v>
      </x:c>
      <x:c r="E184" s="21" t="str">
        <x:v>umami</x:v>
      </x:c>
      <x:c r="F184" s="21" t="str">
        <x:v>D - database non-salty annotation</x:v>
      </x:c>
      <x:c r="G184" s="21" t="str">
        <x:v>database annotation compilation (BIOPEP-UWM; TastePeptidesDB); source test conditions not verified row by row</x:v>
      </x:c>
      <x:c r="H184" s="22" t="str">
        <x:v>BIOPEP-UWM; TastePeptidesDB</x:v>
      </x:c>
    </x:row>
    <x:row r="185" ht="21.600000381469727" hidden="0" customHeight="1">
      <x:c r="A185" s="34" t="n">
        <x:v>182</x:v>
      </x:c>
      <x:c r="B185" s="35" t="str">
        <x:v>LEQL</x:v>
      </x:c>
      <x:c r="C185" s="35" t="n">
        <x:f>LEN(B185)</x:f>
        <x:v>4</x:v>
      </x:c>
      <x:c r="D185" s="35" t="n">
        <x:v>0</x:v>
      </x:c>
      <x:c r="E185" s="21" t="str">
        <x:v>umami</x:v>
      </x:c>
      <x:c r="F185" s="21" t="str">
        <x:v>D - database non-salty annotation</x:v>
      </x:c>
      <x:c r="G185" s="21" t="str">
        <x:v>database annotation compilation (BIOPEP-UWM; TastePeptidesDB); source test conditions not verified row by row</x:v>
      </x:c>
      <x:c r="H185" s="22" t="str">
        <x:v>BIOPEP-UWM; TastePeptidesDB</x:v>
      </x:c>
    </x:row>
    <x:row r="186" ht="21.600000381469727" hidden="0" customHeight="1">
      <x:c r="A186" s="34" t="n">
        <x:v>183</x:v>
      </x:c>
      <x:c r="B186" s="35" t="str">
        <x:v>QDTW</x:v>
      </x:c>
      <x:c r="C186" s="35" t="n">
        <x:f>LEN(B186)</x:f>
        <x:v>4</x:v>
      </x:c>
      <x:c r="D186" s="35" t="n">
        <x:v>0</x:v>
      </x:c>
      <x:c r="E186" s="21" t="str">
        <x:v>umami</x:v>
      </x:c>
      <x:c r="F186" s="21" t="str">
        <x:v>D - database non-salty annotation</x:v>
      </x:c>
      <x:c r="G186" s="21" t="str">
        <x:v>database annotation compilation (TastePeptidesDB); source test conditions not verified row by row</x:v>
      </x:c>
      <x:c r="H186" s="22" t="str">
        <x:v>TastePeptidesDB</x:v>
      </x:c>
    </x:row>
    <x:row r="187" ht="21.600000381469727" hidden="0" customHeight="1">
      <x:c r="A187" s="34" t="n">
        <x:v>184</x:v>
      </x:c>
      <x:c r="B187" s="35" t="str">
        <x:v>QEEL</x:v>
      </x:c>
      <x:c r="C187" s="35" t="n">
        <x:f>LEN(B187)</x:f>
        <x:v>4</x:v>
      </x:c>
      <x:c r="D187" s="35" t="n">
        <x:v>0</x:v>
      </x:c>
      <x:c r="E187" s="21" t="str">
        <x:v>umami</x:v>
      </x:c>
      <x:c r="F187" s="21" t="str">
        <x:v>D - database non-salty annotation</x:v>
      </x:c>
      <x:c r="G187" s="21" t="str">
        <x:v>database annotation compilation (BIOPEP-UWM; TastePeptidesDB); source test conditions not verified row by row</x:v>
      </x:c>
      <x:c r="H187" s="22" t="str">
        <x:v>BIOPEP-UWM; TastePeptidesDB</x:v>
      </x:c>
    </x:row>
    <x:row r="188" ht="21.600000381469727" hidden="0" customHeight="1">
      <x:c r="A188" s="34" t="n">
        <x:v>185</x:v>
      </x:c>
      <x:c r="B188" s="35" t="str">
        <x:v>SEEG</x:v>
      </x:c>
      <x:c r="C188" s="35" t="n">
        <x:f>LEN(B188)</x:f>
        <x:v>4</x:v>
      </x:c>
      <x:c r="D188" s="35" t="n">
        <x:v>0</x:v>
      </x:c>
      <x:c r="E188" s="21" t="str">
        <x:v>umami</x:v>
      </x:c>
      <x:c r="F188" s="21" t="str">
        <x:v>D - database non-salty annotation</x:v>
      </x:c>
      <x:c r="G188" s="21" t="str">
        <x:v>database annotation compilation (BIOPEP-UWM; TastePeptidesDB); source test conditions not verified row by row</x:v>
      </x:c>
      <x:c r="H188" s="22" t="str">
        <x:v>BIOPEP-UWM; TastePeptidesDB</x:v>
      </x:c>
    </x:row>
    <x:row r="189" ht="21.600000381469727" hidden="0" customHeight="1">
      <x:c r="A189" s="34" t="n">
        <x:v>186</x:v>
      </x:c>
      <x:c r="B189" s="35" t="str">
        <x:v>STAN</x:v>
      </x:c>
      <x:c r="C189" s="35" t="n">
        <x:f>LEN(B189)</x:f>
        <x:v>4</x:v>
      </x:c>
      <x:c r="D189" s="35" t="n">
        <x:v>0</x:v>
      </x:c>
      <x:c r="E189" s="21" t="str">
        <x:v>umami</x:v>
      </x:c>
      <x:c r="F189" s="21" t="str">
        <x:v>D - database non-salty annotation</x:v>
      </x:c>
      <x:c r="G189" s="21" t="str">
        <x:v>database annotation compilation (TastePeptidesDB); source test conditions not verified row by row</x:v>
      </x:c>
      <x:c r="H189" s="22" t="str">
        <x:v>TastePeptidesDB</x:v>
      </x:c>
    </x:row>
    <x:row r="190" ht="21.600000381469727" hidden="0" customHeight="1">
      <x:c r="A190" s="34" t="n">
        <x:v>187</x:v>
      </x:c>
      <x:c r="B190" s="35" t="str">
        <x:v>VIVK</x:v>
      </x:c>
      <x:c r="C190" s="35" t="n">
        <x:f>LEN(B190)</x:f>
        <x:v>4</x:v>
      </x:c>
      <x:c r="D190" s="35" t="n">
        <x:v>0</x:v>
      </x:c>
      <x:c r="E190" s="21" t="str">
        <x:v>umami</x:v>
      </x:c>
      <x:c r="F190" s="21" t="str">
        <x:v>D - database non-salty annotation</x:v>
      </x:c>
      <x:c r="G190" s="21" t="str">
        <x:v>database annotation compilation (TastePeptidesDB); source test conditions not verified row by row</x:v>
      </x:c>
      <x:c r="H190" s="22" t="str">
        <x:v>TastePeptidesDB</x:v>
      </x:c>
    </x:row>
    <x:row r="191" ht="21.600000381469727" hidden="0" customHeight="1">
      <x:c r="A191" s="34" t="n">
        <x:v>188</x:v>
      </x:c>
      <x:c r="B191" s="35" t="str">
        <x:v>EQEEL</x:v>
      </x:c>
      <x:c r="C191" s="35" t="n">
        <x:f>LEN(B191)</x:f>
        <x:v>5</x:v>
      </x:c>
      <x:c r="D191" s="35" t="n">
        <x:v>0</x:v>
      </x:c>
      <x:c r="E191" s="21" t="str">
        <x:v>umami</x:v>
      </x:c>
      <x:c r="F191" s="21" t="str">
        <x:v>D - database non-salty annotation</x:v>
      </x:c>
      <x:c r="G191" s="21" t="str">
        <x:v>database annotation compilation (BIOPEP-UWM; TastePeptidesDB); source test conditions not verified row by row</x:v>
      </x:c>
      <x:c r="H191" s="22" t="str">
        <x:v>BIOPEP-UWM; TastePeptidesDB</x:v>
      </x:c>
    </x:row>
    <x:row r="192" ht="21.600000381469727" hidden="0" customHeight="1">
      <x:c r="A192" s="34" t="n">
        <x:v>189</x:v>
      </x:c>
      <x:c r="B192" s="35" t="str">
        <x:v>SAEQK</x:v>
      </x:c>
      <x:c r="C192" s="35" t="n">
        <x:f>LEN(B192)</x:f>
        <x:v>5</x:v>
      </x:c>
      <x:c r="D192" s="35" t="n">
        <x:v>0</x:v>
      </x:c>
      <x:c r="E192" s="21" t="str">
        <x:v>umami</x:v>
      </x:c>
      <x:c r="F192" s="21" t="str">
        <x:v>D - database non-salty annotation</x:v>
      </x:c>
      <x:c r="G192" s="21" t="str">
        <x:v>database annotation compilation (BIOPEP-UWM; TastePeptidesDB); source test conditions not verified row by row</x:v>
      </x:c>
      <x:c r="H192" s="22" t="str">
        <x:v>BIOPEP-UWM; TastePeptidesDB</x:v>
      </x:c>
    </x:row>
    <x:row r="193" ht="21.600000381469727" hidden="0" customHeight="1">
      <x:c r="A193" s="34" t="n">
        <x:v>190</x:v>
      </x:c>
      <x:c r="B193" s="35" t="str">
        <x:v>SYNPR</x:v>
      </x:c>
      <x:c r="C193" s="35" t="n">
        <x:f>LEN(B193)</x:f>
        <x:v>5</x:v>
      </x:c>
      <x:c r="D193" s="35" t="n">
        <x:v>0</x:v>
      </x:c>
      <x:c r="E193" s="21" t="str">
        <x:v>umami, bitter</x:v>
      </x:c>
      <x:c r="F193" s="21" t="str">
        <x:v>D - database non-salty annotation</x:v>
      </x:c>
      <x:c r="G193" s="21" t="str">
        <x:v>database annotation compilation (BIOPEP-UWM; TastePeptidesDB); source test conditions not verified row by row</x:v>
      </x:c>
      <x:c r="H193" s="22" t="str">
        <x:v>BIOPEP-UWM; TastePeptidesDB</x:v>
      </x:c>
    </x:row>
    <x:row r="194" ht="21.600000381469727" hidden="0" customHeight="1">
      <x:c r="A194" s="34" t="n">
        <x:v>191</x:v>
      </x:c>
      <x:c r="B194" s="35" t="str">
        <x:v>VVGET</x:v>
      </x:c>
      <x:c r="C194" s="35" t="n">
        <x:f>LEN(B194)</x:f>
        <x:v>5</x:v>
      </x:c>
      <x:c r="D194" s="35" t="n">
        <x:v>0</x:v>
      </x:c>
      <x:c r="E194" s="21" t="str">
        <x:v>umami</x:v>
      </x:c>
      <x:c r="F194" s="21" t="str">
        <x:v>D - database non-salty annotation</x:v>
      </x:c>
      <x:c r="G194" s="21" t="str">
        <x:v>database annotation compilation (BIOPEP-UWM; TastePeptidesDB); source test conditions not verified row by row</x:v>
      </x:c>
      <x:c r="H194" s="22" t="str">
        <x:v>BIOPEP-UWM; TastePeptidesDB</x:v>
      </x:c>
    </x:row>
    <x:row r="195" ht="21.600000381469727" hidden="0" customHeight="1">
      <x:c r="A195" s="34" t="n">
        <x:v>192</x:v>
      </x:c>
      <x:c r="B195" s="35" t="str">
        <x:v>CCNKSV</x:v>
      </x:c>
      <x:c r="C195" s="35" t="n">
        <x:f>LEN(B195)</x:f>
        <x:v>6</x:v>
      </x:c>
      <x:c r="D195" s="35" t="n">
        <x:v>0</x:v>
      </x:c>
      <x:c r="E195" s="21" t="str">
        <x:v>umami</x:v>
      </x:c>
      <x:c r="F195" s="21" t="str">
        <x:v>D - database non-salty annotation</x:v>
      </x:c>
      <x:c r="G195" s="21" t="str">
        <x:v>database annotation compilation (BIOPEP-UWM; TastePeptidesDB); source test conditions not verified row by row</x:v>
      </x:c>
      <x:c r="H195" s="22" t="str">
        <x:v>BIOPEP-UWM; TastePeptidesDB</x:v>
      </x:c>
    </x:row>
    <x:row r="196" ht="21.600000381469727" hidden="0" customHeight="1">
      <x:c r="A196" s="34" t="n">
        <x:v>193</x:v>
      </x:c>
      <x:c r="B196" s="35" t="str">
        <x:v>ENINEL</x:v>
      </x:c>
      <x:c r="C196" s="35" t="n">
        <x:f>LEN(B196)</x:f>
        <x:v>6</x:v>
      </x:c>
      <x:c r="D196" s="35" t="n">
        <x:v>0</x:v>
      </x:c>
      <x:c r="E196" s="21" t="str">
        <x:v>umami</x:v>
      </x:c>
      <x:c r="F196" s="21" t="str">
        <x:v>D - database non-salty annotation</x:v>
      </x:c>
      <x:c r="G196" s="21" t="str">
        <x:v>database annotation compilation (BIOPEP-UWM; TastePeptidesDB); source test conditions not verified row by row</x:v>
      </x:c>
      <x:c r="H196" s="22" t="str">
        <x:v>BIOPEP-UWM; TastePeptidesDB</x:v>
      </x:c>
    </x:row>
    <x:row r="197" ht="21.600000381469727" hidden="0" customHeight="1">
      <x:c r="A197" s="34" t="n">
        <x:v>194</x:v>
      </x:c>
      <x:c r="B197" s="35" t="str">
        <x:v>NVVGET</x:v>
      </x:c>
      <x:c r="C197" s="35" t="n">
        <x:f>LEN(B197)</x:f>
        <x:v>6</x:v>
      </x:c>
      <x:c r="D197" s="35" t="n">
        <x:v>0</x:v>
      </x:c>
      <x:c r="E197" s="21" t="str">
        <x:v>umami</x:v>
      </x:c>
      <x:c r="F197" s="21" t="str">
        <x:v>D - database non-salty annotation</x:v>
      </x:c>
      <x:c r="G197" s="21" t="str">
        <x:v>database annotation compilation (BIOPEP-UWM; TastePeptidesDB); source test conditions not verified row by row</x:v>
      </x:c>
      <x:c r="H197" s="22" t="str">
        <x:v>BIOPEP-UWM; TastePeptidesDB</x:v>
      </x:c>
    </x:row>
    <x:row r="198" ht="21.600000381469727" hidden="0" customHeight="1">
      <x:c r="A198" s="34" t="n">
        <x:v>195</x:v>
      </x:c>
      <x:c r="B198" s="35" t="str">
        <x:v>SPPTEE</x:v>
      </x:c>
      <x:c r="C198" s="35" t="n">
        <x:f>LEN(B198)</x:f>
        <x:v>6</x:v>
      </x:c>
      <x:c r="D198" s="35" t="n">
        <x:v>0</x:v>
      </x:c>
      <x:c r="E198" s="21" t="str">
        <x:v>umami</x:v>
      </x:c>
      <x:c r="F198" s="21" t="str">
        <x:v>D - database non-salty annotation</x:v>
      </x:c>
      <x:c r="G198" s="21" t="str">
        <x:v>database annotation compilation (BIOPEP-UWM; TastePeptidesDB); source test conditions not verified row by row</x:v>
      </x:c>
      <x:c r="H198" s="22" t="str">
        <x:v>BIOPEP-UWM; TastePeptidesDB</x:v>
      </x:c>
    </x:row>
    <x:row r="199" ht="21.600000381469727" hidden="0" customHeight="1">
      <x:c r="A199" s="34" t="n">
        <x:v>196</x:v>
      </x:c>
      <x:c r="B199" s="35" t="str">
        <x:v>VIIIIH</x:v>
      </x:c>
      <x:c r="C199" s="35" t="n">
        <x:f>LEN(B199)</x:f>
        <x:v>6</x:v>
      </x:c>
      <x:c r="D199" s="35" t="n">
        <x:v>0</x:v>
      </x:c>
      <x:c r="E199" s="21" t="str">
        <x:v>umami</x:v>
      </x:c>
      <x:c r="F199" s="21" t="str">
        <x:v>D - database non-salty annotation</x:v>
      </x:c>
      <x:c r="G199" s="21" t="str">
        <x:v>database annotation compilation (TastePeptidesDB); source test conditions not verified row by row</x:v>
      </x:c>
      <x:c r="H199" s="22" t="str">
        <x:v>TastePeptidesDB</x:v>
      </x:c>
    </x:row>
    <x:row r="200" ht="21.600000381469727" hidden="0" customHeight="1">
      <x:c r="A200" s="34" t="n">
        <x:v>197</x:v>
      </x:c>
      <x:c r="B200" s="35" t="str">
        <x:v>AHSVRFY</x:v>
      </x:c>
      <x:c r="C200" s="35" t="n">
        <x:f>LEN(B200)</x:f>
        <x:v>7</x:v>
      </x:c>
      <x:c r="D200" s="35" t="n">
        <x:v>0</x:v>
      </x:c>
      <x:c r="E200" s="21" t="str">
        <x:v>umami</x:v>
      </x:c>
      <x:c r="F200" s="21" t="str">
        <x:v>D - database non-salty annotation</x:v>
      </x:c>
      <x:c r="G200" s="21" t="str">
        <x:v>database annotation compilation (BIOPEP-UWM; TastePeptidesDB); source test conditions not verified row by row</x:v>
      </x:c>
      <x:c r="H200" s="22" t="str">
        <x:v>BIOPEP-UWM; TastePeptidesDB</x:v>
      </x:c>
    </x:row>
    <x:row r="201" ht="21.600000381469727" hidden="0" customHeight="1">
      <x:c r="A201" s="34" t="n">
        <x:v>198</x:v>
      </x:c>
      <x:c r="B201" s="35" t="str">
        <x:v>GPSGPVG</x:v>
      </x:c>
      <x:c r="C201" s="35" t="n">
        <x:f>LEN(B201)</x:f>
        <x:v>7</x:v>
      </x:c>
      <x:c r="D201" s="35" t="n">
        <x:v>0</x:v>
      </x:c>
      <x:c r="E201" s="21" t="str">
        <x:v>umami</x:v>
      </x:c>
      <x:c r="F201" s="21" t="str">
        <x:v>D - database non-salty annotation</x:v>
      </x:c>
      <x:c r="G201" s="21" t="str">
        <x:v>database annotation compilation (TastePeptidesDB); source test conditions not verified row by row</x:v>
      </x:c>
      <x:c r="H201" s="22" t="str">
        <x:v>TastePeptidesDB</x:v>
      </x:c>
    </x:row>
    <x:row r="202" ht="21.600000381469727" hidden="0" customHeight="1">
      <x:c r="A202" s="34" t="n">
        <x:v>199</x:v>
      </x:c>
      <x:c r="B202" s="35" t="str">
        <x:v>HLFCHNK</x:v>
      </x:c>
      <x:c r="C202" s="35" t="n">
        <x:f>LEN(B202)</x:f>
        <x:v>7</x:v>
      </x:c>
      <x:c r="D202" s="35" t="n">
        <x:v>0</x:v>
      </x:c>
      <x:c r="E202" s="21" t="str">
        <x:v>umami</x:v>
      </x:c>
      <x:c r="F202" s="21" t="str">
        <x:v>D - database non-salty annotation</x:v>
      </x:c>
      <x:c r="G202" s="21" t="str">
        <x:v>database annotation compilation (TastePeptidesDB); source test conditions not verified row by row</x:v>
      </x:c>
      <x:c r="H202" s="22" t="str">
        <x:v>TastePeptidesDB</x:v>
      </x:c>
    </x:row>
    <x:row r="203" ht="21.600000381469727" hidden="0" customHeight="1">
      <x:c r="A203" s="34" t="n">
        <x:v>200</x:v>
      </x:c>
      <x:c r="B203" s="35" t="str">
        <x:v>HSISDLQ</x:v>
      </x:c>
      <x:c r="C203" s="35" t="n">
        <x:f>LEN(B203)</x:f>
        <x:v>7</x:v>
      </x:c>
      <x:c r="D203" s="35" t="n">
        <x:v>0</x:v>
      </x:c>
      <x:c r="E203" s="21" t="str">
        <x:v>umami</x:v>
      </x:c>
      <x:c r="F203" s="21" t="str">
        <x:v>D - database non-salty annotation</x:v>
      </x:c>
      <x:c r="G203" s="21" t="str">
        <x:v>database annotation compilation (TastePeptidesDB); source test conditions not verified row by row</x:v>
      </x:c>
      <x:c r="H203" s="22" t="str">
        <x:v>TastePeptidesDB</x:v>
      </x:c>
    </x:row>
    <x:row r="204" ht="21.600000381469727" hidden="0" customHeight="1">
      <x:c r="A204" s="34" t="n">
        <x:v>201</x:v>
      </x:c>
      <x:c r="B204" s="35" t="str">
        <x:v>IQQDDCK</x:v>
      </x:c>
      <x:c r="C204" s="35" t="n">
        <x:f>LEN(B204)</x:f>
        <x:v>7</x:v>
      </x:c>
      <x:c r="D204" s="35" t="n">
        <x:v>0</x:v>
      </x:c>
      <x:c r="E204" s="21" t="str">
        <x:v>umami</x:v>
      </x:c>
      <x:c r="F204" s="21" t="str">
        <x:v>D - database non-salty annotation</x:v>
      </x:c>
      <x:c r="G204" s="21" t="str">
        <x:v>database annotation compilation (TastePeptidesDB); source test conditions not verified row by row</x:v>
      </x:c>
      <x:c r="H204" s="22" t="str">
        <x:v>TastePeptidesDB</x:v>
      </x:c>
    </x:row>
    <x:row r="205" ht="21.600000381469727" hidden="0" customHeight="1">
      <x:c r="A205" s="34" t="n">
        <x:v>202</x:v>
      </x:c>
      <x:c r="B205" s="35" t="str">
        <x:v>PVARMCR</x:v>
      </x:c>
      <x:c r="C205" s="35" t="n">
        <x:f>LEN(B205)</x:f>
        <x:v>7</x:v>
      </x:c>
      <x:c r="D205" s="35" t="n">
        <x:v>0</x:v>
      </x:c>
      <x:c r="E205" s="21" t="str">
        <x:v>umami</x:v>
      </x:c>
      <x:c r="F205" s="21" t="str">
        <x:v>D - database non-salty annotation</x:v>
      </x:c>
      <x:c r="G205" s="21" t="str">
        <x:v>database annotation compilation (BIOPEP-UWM; TastePeptidesDB); source test conditions not verified row by row</x:v>
      </x:c>
      <x:c r="H205" s="22" t="str">
        <x:v>BIOPEP-UWM; TastePeptidesDB</x:v>
      </x:c>
    </x:row>
    <x:row r="206" ht="21.600000381469727" hidden="0" customHeight="1">
      <x:c r="A206" s="34" t="n">
        <x:v>203</x:v>
      </x:c>
      <x:c r="B206" s="35" t="str">
        <x:v>AEDLSTLR</x:v>
      </x:c>
      <x:c r="C206" s="35" t="n">
        <x:f>LEN(B206)</x:f>
        <x:v>8</x:v>
      </x:c>
      <x:c r="D206" s="35" t="n">
        <x:v>0</x:v>
      </x:c>
      <x:c r="E206" s="21" t="str">
        <x:v>umami, bitter, sweet</x:v>
      </x:c>
      <x:c r="F206" s="21" t="str">
        <x:v>D - database non-salty annotation</x:v>
      </x:c>
      <x:c r="G206" s="21" t="str">
        <x:v>database annotation compilation (BIOPEP-UWM; TastePeptidesDB); source test conditions not verified row by row</x:v>
      </x:c>
      <x:c r="H206" s="22" t="str">
        <x:v>BIOPEP-UWM; TastePeptidesDB</x:v>
      </x:c>
    </x:row>
    <x:row r="207" ht="21.600000381469727" hidden="0" customHeight="1">
      <x:c r="A207" s="34" t="n">
        <x:v>204</x:v>
      </x:c>
      <x:c r="B207" s="35" t="str">
        <x:v>EALEATAQ</x:v>
      </x:c>
      <x:c r="C207" s="35" t="n">
        <x:f>LEN(B207)</x:f>
        <x:v>8</x:v>
      </x:c>
      <x:c r="D207" s="35" t="n">
        <x:v>0</x:v>
      </x:c>
      <x:c r="E207" s="21" t="str">
        <x:v>umami</x:v>
      </x:c>
      <x:c r="F207" s="21" t="str">
        <x:v>D - database non-salty annotation</x:v>
      </x:c>
      <x:c r="G207" s="21" t="str">
        <x:v>database annotation compilation (BIOPEP-UWM; TastePeptidesDB); source test conditions not verified row by row</x:v>
      </x:c>
      <x:c r="H207" s="22" t="str">
        <x:v>BIOPEP-UWM; TastePeptidesDB</x:v>
      </x:c>
    </x:row>
    <x:row r="208" ht="21.600000381469727" hidden="0" customHeight="1">
      <x:c r="A208" s="34" t="n">
        <x:v>205</x:v>
      </x:c>
      <x:c r="B208" s="35" t="str">
        <x:v>SSRNEQSR</x:v>
      </x:c>
      <x:c r="C208" s="35" t="n">
        <x:f>LEN(B208)</x:f>
        <x:v>8</x:v>
      </x:c>
      <x:c r="D208" s="35" t="n">
        <x:v>0</x:v>
      </x:c>
      <x:c r="E208" s="21" t="str">
        <x:v>umami</x:v>
      </x:c>
      <x:c r="F208" s="21" t="str">
        <x:v>D - database non-salty annotation</x:v>
      </x:c>
      <x:c r="G208" s="21" t="str">
        <x:v>database annotation compilation (BIOPEP-UWM; TastePeptidesDB); source test conditions not verified row by row</x:v>
      </x:c>
      <x:c r="H208" s="22" t="str">
        <x:v>BIOPEP-UWM; TastePeptidesDB</x:v>
      </x:c>
    </x:row>
    <x:row r="209" ht="21.600000381469727" hidden="0" customHeight="1">
      <x:c r="A209" s="34" t="n">
        <x:v>206</x:v>
      </x:c>
      <x:c r="B209" s="35" t="str">
        <x:v>YGGTPPFV</x:v>
      </x:c>
      <x:c r="C209" s="35" t="n">
        <x:f>LEN(B209)</x:f>
        <x:v>8</x:v>
      </x:c>
      <x:c r="D209" s="35" t="n">
        <x:v>0</x:v>
      </x:c>
      <x:c r="E209" s="21" t="str">
        <x:v>umami</x:v>
      </x:c>
      <x:c r="F209" s="21" t="str">
        <x:v>D - database non-salty annotation</x:v>
      </x:c>
      <x:c r="G209" s="21" t="str">
        <x:v>database annotation compilation (BIOPEP-UWM; TastePeptidesDB); source test conditions not verified row by row</x:v>
      </x:c>
      <x:c r="H209" s="22" t="str">
        <x:v>BIOPEP-UWM; TastePeptidesDB</x:v>
      </x:c>
    </x:row>
    <x:row r="210" ht="21.600000381469727" hidden="0" customHeight="1">
      <x:c r="A210" s="34" t="n">
        <x:v>207</x:v>
      </x:c>
      <x:c r="B210" s="35" t="str">
        <x:v>QRIPAGTTY</x:v>
      </x:c>
      <x:c r="C210" s="35" t="n">
        <x:f>LEN(B210)</x:f>
        <x:v>9</x:v>
      </x:c>
      <x:c r="D210" s="35" t="n">
        <x:v>0</x:v>
      </x:c>
      <x:c r="E210" s="21" t="str">
        <x:v>umami</x:v>
      </x:c>
      <x:c r="F210" s="21" t="str">
        <x:v>D - database non-salty annotation</x:v>
      </x:c>
      <x:c r="G210" s="21" t="str">
        <x:v>database annotation compilation (TastePeptidesDB); source test conditions not verified row by row</x:v>
      </x:c>
      <x:c r="H210" s="22" t="str">
        <x:v>TastePeptidesDB</x:v>
      </x:c>
    </x:row>
    <x:row r="211" ht="21.600000381469727" hidden="0" customHeight="1">
      <x:c r="A211" s="34" t="n">
        <x:v>208</x:v>
      </x:c>
      <x:c r="B211" s="35" t="str">
        <x:v>ALDYVTSHQA</x:v>
      </x:c>
      <x:c r="C211" s="35" t="n">
        <x:f>LEN(B211)</x:f>
        <x:v>10</x:v>
      </x:c>
      <x:c r="D211" s="35" t="n">
        <x:v>0</x:v>
      </x:c>
      <x:c r="E211" s="21" t="str">
        <x:v>umami</x:v>
      </x:c>
      <x:c r="F211" s="21" t="str">
        <x:v>D - database non-salty annotation</x:v>
      </x:c>
      <x:c r="G211" s="21" t="str">
        <x:v>database annotation compilation (TastePeptidesDB); source test conditions not verified row by row</x:v>
      </x:c>
      <x:c r="H211" s="22" t="str">
        <x:v>TastePeptidesDB</x:v>
      </x:c>
    </x:row>
    <x:row r="212" ht="21.600000381469727" hidden="0" customHeight="1">
      <x:c r="A212" s="34" t="n">
        <x:v>209</x:v>
      </x:c>
      <x:c r="B212" s="35" t="str">
        <x:v>PKKCIGNWRT</x:v>
      </x:c>
      <x:c r="C212" s="35" t="n">
        <x:f>LEN(B212)</x:f>
        <x:v>10</x:v>
      </x:c>
      <x:c r="D212" s="35" t="n">
        <x:v>0</x:v>
      </x:c>
      <x:c r="E212" s="21" t="str">
        <x:v>umami</x:v>
      </x:c>
      <x:c r="F212" s="21" t="str">
        <x:v>D - database non-salty annotation</x:v>
      </x:c>
      <x:c r="G212" s="21" t="str">
        <x:v>database annotation compilation (TastePeptidesDB); source test conditions not verified row by row</x:v>
      </x:c>
      <x:c r="H212" s="22" t="str">
        <x:v>TastePeptidesDB</x:v>
      </x:c>
    </x:row>
    <x:row r="213" ht="21.600000381469727" hidden="0" customHeight="1">
      <x:c r="A213" s="34" t="n">
        <x:v>210</x:v>
      </x:c>
      <x:c r="B213" s="35" t="str">
        <x:v>KTRINLVRYITV</x:v>
      </x:c>
      <x:c r="C213" s="35" t="n">
        <x:f>LEN(B213)</x:f>
        <x:v>12</x:v>
      </x:c>
      <x:c r="D213" s="35" t="n">
        <x:v>0</x:v>
      </x:c>
      <x:c r="E213" s="21" t="str">
        <x:v>umami</x:v>
      </x:c>
      <x:c r="F213" s="21" t="str">
        <x:v>D - database non-salty annotation</x:v>
      </x:c>
      <x:c r="G213" s="21" t="str">
        <x:v>database annotation compilation (TastePeptidesDB); source test conditions not verified row by row</x:v>
      </x:c>
      <x:c r="H213" s="22" t="str">
        <x:v>TastePeptidesDB</x:v>
      </x:c>
    </x:row>
    <x:row r="214" ht="21.600000381469727" hidden="0" customHeight="1">
      <x:c r="A214" s="34" t="n">
        <x:v>211</x:v>
      </x:c>
      <x:c r="B214" s="35" t="str">
        <x:v>EHGE</x:v>
      </x:c>
      <x:c r="C214" s="35" t="n">
        <x:f>LEN(B214)</x:f>
        <x:v>4</x:v>
      </x:c>
      <x:c r="D214" s="35" t="n">
        <x:v>0</x:v>
      </x:c>
      <x:c r="E214" s="21" t="str">
        <x:v>umami, slight sweet, slight bitter; no salty descriptor in direct sensory evaluation</x:v>
      </x:c>
      <x:c r="F214" s="21" t="str">
        <x:v>B1 - excluded as salty in the same sensory study</x:v>
      </x:c>
      <x:c r="G214" s="21" t="str">
        <x:v>synthetic peptide; trained 10-member sensory panel; five-taste evaluation; 1 mg/mL aqueous peptide solution; relaxed negative criterion</x:v>
      </x:c>
      <x:c r="H214" s="22" t="str">
        <x:v>10.1016/j.foodchem.2023.137057</x:v>
      </x:c>
    </x:row>
    <x:row r="215" ht="21.600000381469727" hidden="0" customHeight="1">
      <x:c r="A215" s="34" t="n">
        <x:v>212</x:v>
      </x:c>
      <x:c r="B215" s="35" t="str">
        <x:v>DGFASD</x:v>
      </x:c>
      <x:c r="C215" s="35" t="n">
        <x:f>LEN(B215)</x:f>
        <x:v>6</x:v>
      </x:c>
      <x:c r="D215" s="35" t="n">
        <x:v>0</x:v>
      </x:c>
      <x:c r="E215" s="21" t="str">
        <x:v>umami, slight sweet, slight bitter; no salty descriptor in direct sensory evaluation</x:v>
      </x:c>
      <x:c r="F215" s="21" t="str">
        <x:v>B1 - excluded as salty in the same sensory study</x:v>
      </x:c>
      <x:c r="G215" s="21" t="str">
        <x:v>synthetic peptide; trained 10-member sensory panel; five-taste evaluation; 1 mg/mL aqueous peptide solution; relaxed negative criterion</x:v>
      </x:c>
      <x:c r="H215" s="22" t="str">
        <x:v>10.1016/j.foodchem.2023.137057</x:v>
      </x:c>
    </x:row>
    <x:row r="216" ht="21.600000381469727" hidden="0" customHeight="1">
      <x:c r="A216" s="34" t="n">
        <x:v>213</x:v>
      </x:c>
      <x:c r="B216" s="35" t="str">
        <x:v>MGPENGV</x:v>
      </x:c>
      <x:c r="C216" s="35" t="n">
        <x:f>LEN(B216)</x:f>
        <x:v>7</x:v>
      </x:c>
      <x:c r="D216" s="35" t="n">
        <x:v>0</x:v>
      </x:c>
      <x:c r="E216" s="21" t="str">
        <x:v>umami, sweet, slight bitter; no salty descriptor in direct sensory evaluation</x:v>
      </x:c>
      <x:c r="F216" s="21" t="str">
        <x:v>B1 - excluded as salty in the same sensory study</x:v>
      </x:c>
      <x:c r="G216" s="21" t="str">
        <x:v>synthetic peptide; trained 10-member sensory panel; five-taste evaluation; 1 mg/mL aqueous peptide solution; relaxed negative criterion</x:v>
      </x:c>
      <x:c r="H216" s="22" t="str">
        <x:v>10.1016/j.foodchem.2023.137057</x:v>
      </x:c>
    </x:row>
    <x:row r="217" ht="32.400001525878906" hidden="0" customHeight="1">
      <x:c r="A217" s="34" t="n">
        <x:v>214</x:v>
      </x:c>
      <x:c r="B217" s="35" t="str">
        <x:v>DDWWR</x:v>
      </x:c>
      <x:c r="C217" s="35" t="n">
        <x:f>LEN(B217)</x:f>
        <x:v>5</x:v>
      </x:c>
      <x:c r="D217" s="35" t="n">
        <x:v>0</x:v>
      </x:c>
      <x:c r="E217" s="21" t="str">
        <x:v>slight bitter, slight umami; no standalone salty descriptor; no significant saltiness enhancement in the tested MSG system</x:v>
      </x:c>
      <x:c r="F217" s="21" t="str">
        <x:v>B1 - excluded as salty in the same sensory study</x:v>
      </x:c>
      <x:c r="G217" s="21" t="str">
        <x:v>synthetic peptide (&gt;98% purity); trained 11-member sensory panel; five-taste evaluation at 1 mg/mL and pH 6.5; no significant saltiness enhancement at 0.2 mg/mL peptide plus 2 mg/mL MSG; relaxed negative criterion</x:v>
      </x:c>
      <x:c r="H217" s="22" t="str">
        <x:v>10.7506/spkx1002-6630-20230222-203</x:v>
      </x:c>
    </x:row>
    <x:row r="218" ht="32.400001525878906" hidden="0" customHeight="1">
      <x:c r="A218" s="34" t="n">
        <x:v>215</x:v>
      </x:c>
      <x:c r="B218" s="35" t="str">
        <x:v>LRLL</x:v>
      </x:c>
      <x:c r="C218" s="35" t="n">
        <x:f>LEN(B218)</x:f>
        <x:v>4</x:v>
      </x:c>
      <x:c r="D218" s="35" t="n">
        <x:v>0</x:v>
      </x:c>
      <x:c r="E218" s="21" t="str">
        <x:v>bitter</x:v>
      </x:c>
      <x:c r="F218" s="21" t="str">
        <x:v>B1 - excluded as salty in the same sensory study</x:v>
      </x:c>
      <x:c r="G218" s="21" t="str">
        <x:v>synthetic peptide; trained human sensory panel; direct descriptive sensory evaluation; no salty descriptor; 2 mg/mL; bitter threshold 0.28 mmol/L; relaxed negative criterion</x:v>
      </x:c>
      <x:c r="H218" s="22" t="str">
        <x:v>10.1016/j.foodchem.2025.146470</x:v>
      </x:c>
    </x:row>
    <x:row r="219" ht="32.400001525878906" hidden="0" customHeight="1">
      <x:c r="A219" s="34" t="n">
        <x:v>216</x:v>
      </x:c>
      <x:c r="B219" s="35" t="str">
        <x:v>FYL</x:v>
      </x:c>
      <x:c r="C219" s="35" t="n">
        <x:f>LEN(B219)</x:f>
        <x:v>3</x:v>
      </x:c>
      <x:c r="D219" s="35" t="n">
        <x:v>0</x:v>
      </x:c>
      <x:c r="E219" s="21" t="str">
        <x:v>bitter</x:v>
      </x:c>
      <x:c r="F219" s="21" t="str">
        <x:v>B1 - excluded as salty in the same sensory study</x:v>
      </x:c>
      <x:c r="G219" s="21" t="str">
        <x:v>synthetic peptide; trained human sensory panel; direct descriptive sensory evaluation; no salty descriptor; 2 mg/mL; bitter threshold 0.28 mmol/L; relaxed negative criterion</x:v>
      </x:c>
      <x:c r="H219" s="22" t="str">
        <x:v>10.1016/j.foodchem.2025.146470</x:v>
      </x:c>
    </x:row>
    <x:row r="220" ht="32.400001525878906" hidden="0" customHeight="1">
      <x:c r="A220" s="34" t="n">
        <x:v>217</x:v>
      </x:c>
      <x:c r="B220" s="35" t="str">
        <x:v>FLF</x:v>
      </x:c>
      <x:c r="C220" s="35" t="n">
        <x:f>LEN(B220)</x:f>
        <x:v>3</x:v>
      </x:c>
      <x:c r="D220" s="35" t="n">
        <x:v>0</x:v>
      </x:c>
      <x:c r="E220" s="21" t="str">
        <x:v>bitter, astringent</x:v>
      </x:c>
      <x:c r="F220" s="21" t="str">
        <x:v>B1 - excluded as salty in the same sensory study</x:v>
      </x:c>
      <x:c r="G220" s="21" t="str">
        <x:v>synthetic peptide; trained human sensory panel; direct descriptive sensory evaluation; no salty descriptor; 2 mg/mL; bitter threshold 0.49 mmol/L; relaxed negative criterion</x:v>
      </x:c>
      <x:c r="H220" s="22" t="str">
        <x:v>10.1016/j.foodchem.2025.146470</x:v>
      </x:c>
    </x:row>
    <x:row r="221" ht="32.400001525878906" hidden="0" customHeight="1">
      <x:c r="A221" s="34" t="n">
        <x:v>218</x:v>
      </x:c>
      <x:c r="B221" s="35" t="str">
        <x:v>YLF</x:v>
      </x:c>
      <x:c r="C221" s="35" t="n">
        <x:f>LEN(B221)</x:f>
        <x:v>3</x:v>
      </x:c>
      <x:c r="D221" s="35" t="n">
        <x:v>0</x:v>
      </x:c>
      <x:c r="E221" s="21" t="str">
        <x:v>bitter, astringent, sour</x:v>
      </x:c>
      <x:c r="F221" s="21" t="str">
        <x:v>B1 - excluded as salty in the same sensory study</x:v>
      </x:c>
      <x:c r="G221" s="21" t="str">
        <x:v>synthetic peptide; trained human sensory panel; direct descriptive sensory evaluation; no salty descriptor; 2 mg/mL; bitter threshold 0.62 mmol/L; relaxed negative criterion</x:v>
      </x:c>
      <x:c r="H221" s="22" t="str">
        <x:v>10.1016/j.foodchem.2025.146470</x:v>
      </x:c>
    </x:row>
    <x:row r="222" ht="32.400001525878906" hidden="0" customHeight="1">
      <x:c r="A222" s="34" t="n">
        <x:v>219</x:v>
      </x:c>
      <x:c r="B222" s="35" t="str">
        <x:v>FAPF</x:v>
      </x:c>
      <x:c r="C222" s="35" t="n">
        <x:f>LEN(B222)</x:f>
        <x:v>4</x:v>
      </x:c>
      <x:c r="D222" s="35" t="n">
        <x:v>0</x:v>
      </x:c>
      <x:c r="E222" s="21" t="str">
        <x:v>bitter, astringent</x:v>
      </x:c>
      <x:c r="F222" s="21" t="str">
        <x:v>B1 - excluded as salty in the same sensory study</x:v>
      </x:c>
      <x:c r="G222" s="21" t="str">
        <x:v>synthetic peptide; trained human sensory panel; direct descriptive sensory evaluation; no salty descriptor; 2 mg/mL; bitter threshold 0.68 mmol/L; relaxed negative criterion</x:v>
      </x:c>
      <x:c r="H222" s="22" t="str">
        <x:v>10.1016/j.foodchem.2025.146470</x:v>
      </x:c>
    </x:row>
    <x:row r="223" ht="32.400001525878906" hidden="0" customHeight="1">
      <x:c r="A223" s="34" t="n">
        <x:v>220</x:v>
      </x:c>
      <x:c r="B223" s="35" t="str">
        <x:v>VLLF</x:v>
      </x:c>
      <x:c r="C223" s="35" t="n">
        <x:f>LEN(B223)</x:f>
        <x:v>4</x:v>
      </x:c>
      <x:c r="D223" s="35" t="n">
        <x:v>0</x:v>
      </x:c>
      <x:c r="E223" s="21" t="str">
        <x:v>bitter, astringent, sour</x:v>
      </x:c>
      <x:c r="F223" s="21" t="str">
        <x:v>B1 - excluded as salty in the same sensory study</x:v>
      </x:c>
      <x:c r="G223" s="21" t="str">
        <x:v>synthetic peptide; trained human sensory panel; direct descriptive sensory evaluation; no salty descriptor; 2 mg/mL; bitter threshold 0.29 mmol/L; relaxed negative criterion</x:v>
      </x:c>
      <x:c r="H223" s="22" t="str">
        <x:v>10.1016/j.foodchem.2025.146470</x:v>
      </x:c>
    </x:row>
    <x:row r="224" ht="32.400001525878906" hidden="0" customHeight="1">
      <x:c r="A224" s="34" t="n">
        <x:v>221</x:v>
      </x:c>
      <x:c r="B224" s="35" t="str">
        <x:v>VLL</x:v>
      </x:c>
      <x:c r="C224" s="35" t="n">
        <x:f>LEN(B224)</x:f>
        <x:v>3</x:v>
      </x:c>
      <x:c r="D224" s="35" t="n">
        <x:v>0</x:v>
      </x:c>
      <x:c r="E224" s="21" t="str">
        <x:v>bitter</x:v>
      </x:c>
      <x:c r="F224" s="21" t="str">
        <x:v>B1 - excluded as salty in the same sensory study</x:v>
      </x:c>
      <x:c r="G224" s="21" t="str">
        <x:v>synthetic peptide; trained human sensory panel; direct descriptive sensory evaluation; no salty descriptor; 2 mg/mL; bitter threshold 0.57 mmol/L; relaxed negative criterion</x:v>
      </x:c>
      <x:c r="H224" s="22" t="str">
        <x:v>10.1016/j.foodchem.2025.146470</x:v>
      </x:c>
    </x:row>
    <x:row r="225" ht="32.400001525878906" hidden="0" customHeight="1">
      <x:c r="A225" s="34" t="n">
        <x:v>222</x:v>
      </x:c>
      <x:c r="B225" s="35" t="str">
        <x:v>EFF</x:v>
      </x:c>
      <x:c r="C225" s="35" t="n">
        <x:f>LEN(B225)</x:f>
        <x:v>3</x:v>
      </x:c>
      <x:c r="D225" s="35" t="n">
        <x:v>0</x:v>
      </x:c>
      <x:c r="E225" s="21" t="str">
        <x:v>bitter, astringent, sour</x:v>
      </x:c>
      <x:c r="F225" s="21" t="str">
        <x:v>B1 - excluded as salty in the same sensory study</x:v>
      </x:c>
      <x:c r="G225" s="21" t="str">
        <x:v>synthetic peptide; trained human sensory panel; direct descriptive sensory evaluation; no salty descriptor; 2 mg/mL; bitter threshold 0.47 mmol/L; relaxed negative criterion</x:v>
      </x:c>
      <x:c r="H225" s="22" t="str">
        <x:v>10.1016/j.foodchem.2025.146470</x:v>
      </x:c>
    </x:row>
    <x:row r="226" ht="32.400001525878906" hidden="0" customHeight="1">
      <x:c r="A226" s="34" t="n">
        <x:v>223</x:v>
      </x:c>
      <x:c r="B226" s="35" t="str">
        <x:v>LGFL</x:v>
      </x:c>
      <x:c r="C226" s="35" t="n">
        <x:f>LEN(B226)</x:f>
        <x:v>4</x:v>
      </x:c>
      <x:c r="D226" s="35" t="n">
        <x:v>0</x:v>
      </x:c>
      <x:c r="E226" s="21" t="str">
        <x:v>bitter, umami</x:v>
      </x:c>
      <x:c r="F226" s="21" t="str">
        <x:v>B1 - excluded as salty in the same sensory study</x:v>
      </x:c>
      <x:c r="G226" s="21" t="str">
        <x:v>synthetic peptide; trained human sensory panel; direct descriptive sensory evaluation; no salty descriptor; 2 mg/mL; bitter threshold 0.81 mmol/L; relaxed negative criterion</x:v>
      </x:c>
      <x:c r="H226" s="22" t="str">
        <x:v>10.1016/j.foodchem.2025.146470</x:v>
      </x:c>
    </x:row>
    <x:row r="227" ht="32.400001525878906" hidden="0" customHeight="1">
      <x:c r="A227" s="34" t="n">
        <x:v>224</x:v>
      </x:c>
      <x:c r="B227" s="35" t="str">
        <x:v>VLY</x:v>
      </x:c>
      <x:c r="C227" s="35" t="n">
        <x:f>LEN(B227)</x:f>
        <x:v>3</x:v>
      </x:c>
      <x:c r="D227" s="35" t="n">
        <x:v>0</x:v>
      </x:c>
      <x:c r="E227" s="21" t="str">
        <x:v>bitter, astringent, sour</x:v>
      </x:c>
      <x:c r="F227" s="21" t="str">
        <x:v>B1 - excluded as salty in the same sensory study</x:v>
      </x:c>
      <x:c r="G227" s="21" t="str">
        <x:v>synthetic peptide; trained human sensory panel; direct descriptive sensory evaluation; no salty descriptor; 2 mg/mL; bitter threshold 0.45 mmol/L; relaxed negative criterion</x:v>
      </x:c>
      <x:c r="H227" s="22" t="str">
        <x:v>10.1016/j.foodchem.2025.146470</x:v>
      </x:c>
    </x:row>
    <x:row r="228" ht="32.400001525878906" hidden="0" customHeight="1">
      <x:c r="A228" s="34" t="n">
        <x:v>225</x:v>
      </x:c>
      <x:c r="B228" s="35" t="str">
        <x:v>VEFP</x:v>
      </x:c>
      <x:c r="C228" s="35" t="n">
        <x:f>LEN(B228)</x:f>
        <x:v>4</x:v>
      </x:c>
      <x:c r="D228" s="35" t="n">
        <x:v>0</x:v>
      </x:c>
      <x:c r="E228" s="21" t="str">
        <x:v>bitter</x:v>
      </x:c>
      <x:c r="F228" s="21" t="str">
        <x:v>B1 - excluded as salty in the same sensory study</x:v>
      </x:c>
      <x:c r="G228" s="21" t="str">
        <x:v>synthetic peptide; trained human sensory panel; direct descriptive sensory evaluation; no salty descriptor; 2 mg/mL; bitter threshold 1.16 mmol/L; relaxed negative criterion</x:v>
      </x:c>
      <x:c r="H228" s="22" t="str">
        <x:v>10.1016/j.foodchem.2025.146470</x:v>
      </x:c>
    </x:row>
    <x:row r="229" ht="32.400001525878906" hidden="0" customHeight="1">
      <x:c r="A229" s="34" t="n">
        <x:v>226</x:v>
      </x:c>
      <x:c r="B229" s="35" t="str">
        <x:v>LELL</x:v>
      </x:c>
      <x:c r="C229" s="35" t="n">
        <x:f>LEN(B229)</x:f>
        <x:v>4</x:v>
      </x:c>
      <x:c r="D229" s="35" t="n">
        <x:v>0</x:v>
      </x:c>
      <x:c r="E229" s="21" t="str">
        <x:v>bitter, umami, astringent</x:v>
      </x:c>
      <x:c r="F229" s="21" t="str">
        <x:v>B1 - excluded as salty in the same sensory study</x:v>
      </x:c>
      <x:c r="G229" s="21" t="str">
        <x:v>synthetic peptide; trained human sensory panel; direct descriptive sensory evaluation; no salty descriptor; 2 mg/mL; bitter threshold 0.33 mmol/L; relaxed negative criterion</x:v>
      </x:c>
      <x:c r="H229" s="22" t="str">
        <x:v>10.1016/j.foodchem.2025.146470</x:v>
      </x:c>
    </x:row>
    <x:row r="230" ht="32.400001525878906" hidden="0" customHeight="1">
      <x:c r="A230" s="34" t="n">
        <x:v>227</x:v>
      </x:c>
      <x:c r="B230" s="35" t="str">
        <x:v>SPLESLF</x:v>
      </x:c>
      <x:c r="C230" s="35" t="n">
        <x:f>LEN(B230)</x:f>
        <x:v>7</x:v>
      </x:c>
      <x:c r="D230" s="35" t="n">
        <x:v>0</x:v>
      </x:c>
      <x:c r="E230" s="21" t="str">
        <x:v>bitter, sour, astringent</x:v>
      </x:c>
      <x:c r="F230" s="21" t="str">
        <x:v>B1 - excluded as salty in the same sensory study</x:v>
      </x:c>
      <x:c r="G230" s="21" t="str">
        <x:v>synthetic peptide; trained human sensory panel; direct descriptive sensory evaluation; no salty descriptor; 2 mg/mL; bitter threshold 0.60 mmol/L; relaxed negative criterion</x:v>
      </x:c>
      <x:c r="H230" s="22" t="str">
        <x:v>10.1016/j.foodchem.2025.146470</x:v>
      </x:c>
    </x:row>
    <x:row r="231" ht="21.600000381469727" hidden="0" customHeight="1">
      <x:c r="A231" s="34" t="n">
        <x:v>228</x:v>
      </x:c>
      <x:c r="B231" s="35" t="str">
        <x:v>ELF</x:v>
      </x:c>
      <x:c r="C231" s="35" t="n">
        <x:f>LEN(B231)</x:f>
        <x:v>3</x:v>
      </x:c>
      <x:c r="D231" s="35" t="n">
        <x:v>0</x:v>
      </x:c>
      <x:c r="E231" s="21" t="str">
        <x:v>no clear taste attribute perceived</x:v>
      </x:c>
      <x:c r="F231" s="21" t="str">
        <x:v>B1 - excluded as salty in the same sensory study</x:v>
      </x:c>
      <x:c r="G231" s="21" t="str">
        <x:v>synthetic peptide; trained human sensory panel; direct descriptive sensory evaluation; no salty descriptor; 2 mg/mL; relaxed negative criterion</x:v>
      </x:c>
      <x:c r="H231" s="22" t="str">
        <x:v>10.1016/j.foodchem.2025.146470</x:v>
      </x:c>
    </x:row>
    <x:row r="232" ht="21.600000381469727" hidden="0" customHeight="1">
      <x:c r="A232" s="34" t="n">
        <x:v>229</x:v>
      </x:c>
      <x:c r="B232" s="35" t="str">
        <x:v>LEVL</x:v>
      </x:c>
      <x:c r="C232" s="35" t="n">
        <x:f>LEN(B232)</x:f>
        <x:v>4</x:v>
      </x:c>
      <x:c r="D232" s="35" t="n">
        <x:v>0</x:v>
      </x:c>
      <x:c r="E232" s="21" t="str">
        <x:v>no clear taste attribute perceived</x:v>
      </x:c>
      <x:c r="F232" s="21" t="str">
        <x:v>B1 - excluded as salty in the same sensory study</x:v>
      </x:c>
      <x:c r="G232" s="21" t="str">
        <x:v>synthetic peptide; trained human sensory panel; direct descriptive sensory evaluation; no salty descriptor; 2 mg/mL; relaxed negative criterion</x:v>
      </x:c>
      <x:c r="H232" s="22" t="str">
        <x:v>10.1016/j.foodchem.2025.146470</x:v>
      </x:c>
    </x:row>
    <x:row r="233" ht="21.600000381469727" hidden="0" customHeight="1">
      <x:c r="A233" s="34" t="n">
        <x:v>230</x:v>
      </x:c>
      <x:c r="B233" s="35" t="str">
        <x:v>LESL</x:v>
      </x:c>
      <x:c r="C233" s="35" t="n">
        <x:f>LEN(B233)</x:f>
        <x:v>4</x:v>
      </x:c>
      <x:c r="D233" s="35" t="n">
        <x:v>0</x:v>
      </x:c>
      <x:c r="E233" s="21" t="str">
        <x:v>no clear taste attribute perceived</x:v>
      </x:c>
      <x:c r="F233" s="21" t="str">
        <x:v>B1 - excluded as salty in the same sensory study</x:v>
      </x:c>
      <x:c r="G233" s="21" t="str">
        <x:v>synthetic peptide; trained human sensory panel; direct descriptive sensory evaluation; no salty descriptor; 2 mg/mL; relaxed negative criterion</x:v>
      </x:c>
      <x:c r="H233" s="22" t="str">
        <x:v>10.1016/j.foodchem.2025.146470</x:v>
      </x:c>
    </x:row>
    <x:row r="234" ht="21.600000381469727" hidden="0" customHeight="1">
      <x:c r="A234" s="34" t="n">
        <x:v>231</x:v>
      </x:c>
      <x:c r="B234" s="35" t="str">
        <x:v>LETL</x:v>
      </x:c>
      <x:c r="C234" s="35" t="n">
        <x:f>LEN(B234)</x:f>
        <x:v>4</x:v>
      </x:c>
      <x:c r="D234" s="35" t="n">
        <x:v>0</x:v>
      </x:c>
      <x:c r="E234" s="21" t="str">
        <x:v>no clear taste attribute perceived</x:v>
      </x:c>
      <x:c r="F234" s="21" t="str">
        <x:v>B1 - excluded as salty in the same sensory study</x:v>
      </x:c>
      <x:c r="G234" s="21" t="str">
        <x:v>synthetic peptide; trained human sensory panel; direct descriptive sensory evaluation; no salty descriptor; 2 mg/mL; relaxed negative criterion</x:v>
      </x:c>
      <x:c r="H234" s="22" t="str">
        <x:v>10.1016/j.foodchem.2025.146470</x:v>
      </x:c>
    </x:row>
    <x:row r="235" ht="32.400001525878906" hidden="0" customHeight="1">
      <x:c r="A235" s="34" t="n">
        <x:v>232</x:v>
      </x:c>
      <x:c r="B235" s="35" t="str">
        <x:v>TG</x:v>
      </x:c>
      <x:c r="C235" s="35" t="n">
        <x:f>LEN(B235)</x:f>
        <x:v>2</x:v>
      </x:c>
      <x:c r="D235" s="35" t="n">
        <x:v>0</x:v>
      </x:c>
      <x:c r="E235" s="21" t="str">
        <x:v>pronounced umami, prominent sour, slight sweetness</x:v>
      </x:c>
      <x:c r="F235" s="21" t="str">
        <x:v>B1 - excluded as salty in the same sensory study</x:v>
      </x:c>
      <x:c r="G235" s="21" t="str">
        <x:v>synthetic peptide; trained human sensory panel; direct descriptive sensory evaluation; no salty descriptor; detection threshold 0.125 +/- 0.07 mg/mL; relaxed negative criterion</x:v>
      </x:c>
      <x:c r="H235" s="22" t="str">
        <x:v>10.1016/j.ijgfs.2026.101477</x:v>
      </x:c>
    </x:row>
    <x:row r="236" ht="32.400001525878906" hidden="0" customHeight="1">
      <x:c r="A236" s="34" t="n">
        <x:v>233</x:v>
      </x:c>
      <x:c r="B236" s="35" t="str">
        <x:v>HR</x:v>
      </x:c>
      <x:c r="C236" s="35" t="n">
        <x:f>LEN(B236)</x:f>
        <x:v>2</x:v>
      </x:c>
      <x:c r="D236" s="35" t="n">
        <x:v>0</x:v>
      </x:c>
      <x:c r="E236" s="21" t="str">
        <x:v>bitter, sweet, umami</x:v>
      </x:c>
      <x:c r="F236" s="21" t="str">
        <x:v>B1 - excluded as salty in the same sensory study</x:v>
      </x:c>
      <x:c r="G236" s="21" t="str">
        <x:v>synthetic peptide; trained human sensory panel; direct descriptive sensory evaluation; no salty descriptor; detection threshold 0.125 +/- 0.07 mg/mL; relaxed negative criterion</x:v>
      </x:c>
      <x:c r="H236" s="22" t="str">
        <x:v>10.1016/j.ijgfs.2026.101477</x:v>
      </x:c>
    </x:row>
    <x:row r="237" ht="32.400001525878906" hidden="0" customHeight="1">
      <x:c r="A237" s="34" t="n">
        <x:v>234</x:v>
      </x:c>
      <x:c r="B237" s="35" t="str">
        <x:v>QM</x:v>
      </x:c>
      <x:c r="C237" s="35" t="n">
        <x:f>LEN(B237)</x:f>
        <x:v>2</x:v>
      </x:c>
      <x:c r="D237" s="35" t="n">
        <x:v>0</x:v>
      </x:c>
      <x:c r="E237" s="21" t="str">
        <x:v>umami, bitter, sweet, mildly astringent</x:v>
      </x:c>
      <x:c r="F237" s="21" t="str">
        <x:v>B1 - excluded as salty in the same sensory study</x:v>
      </x:c>
      <x:c r="G237" s="21" t="str">
        <x:v>synthetic peptide; trained human sensory panel; direct descriptive sensory evaluation; no salty descriptor; detection threshold 0.125 +/- 0.07 mg/mL; relaxed negative criterion</x:v>
      </x:c>
      <x:c r="H237" s="22" t="str">
        <x:v>10.1016/j.ijgfs.2026.101477</x:v>
      </x:c>
    </x:row>
    <x:row r="238" ht="32.400001525878906" hidden="0" customHeight="1">
      <x:c r="A238" s="34" t="n">
        <x:v>235</x:v>
      </x:c>
      <x:c r="B238" s="35" t="str">
        <x:v>DYE</x:v>
      </x:c>
      <x:c r="C238" s="35" t="n">
        <x:f>LEN(B238)</x:f>
        <x:v>3</x:v>
      </x:c>
      <x:c r="D238" s="35" t="n">
        <x:v>0</x:v>
      </x:c>
      <x:c r="E238" s="21" t="str">
        <x:v>umami, sour, mildly sweet, astringent</x:v>
      </x:c>
      <x:c r="F238" s="21" t="str">
        <x:v>B1 - excluded as salty in the same sensory study</x:v>
      </x:c>
      <x:c r="G238" s="21" t="str">
        <x:v>synthetic peptide; trained human sensory panel; direct descriptive sensory evaluation; no salty descriptor; detection threshold 0.25 +/- 0.12 mg/mL; relaxed negative criterion</x:v>
      </x:c>
      <x:c r="H238" s="22" t="str">
        <x:v>10.1016/j.ijgfs.2026.101477</x:v>
      </x:c>
    </x:row>
    <x:row r="239" ht="32.400001525878906" hidden="0" customHeight="1">
      <x:c r="A239" s="34" t="n">
        <x:v>236</x:v>
      </x:c>
      <x:c r="B239" s="35" t="str">
        <x:v>QI</x:v>
      </x:c>
      <x:c r="C239" s="35" t="n">
        <x:f>LEN(B239)</x:f>
        <x:v>2</x:v>
      </x:c>
      <x:c r="D239" s="35" t="n">
        <x:v>0</x:v>
      </x:c>
      <x:c r="E239" s="21" t="str">
        <x:v>umami, sweet</x:v>
      </x:c>
      <x:c r="F239" s="21" t="str">
        <x:v>B1 - excluded as salty in the same sensory study</x:v>
      </x:c>
      <x:c r="G239" s="21" t="str">
        <x:v>synthetic peptide; trained human sensory panel; direct descriptive sensory evaluation; no salty descriptor; detection threshold 0.125 +/- 0.07 mg/mL; relaxed negative criterion</x:v>
      </x:c>
      <x:c r="H239" s="22" t="str">
        <x:v>10.1016/j.ijgfs.2026.101477</x:v>
      </x:c>
    </x:row>
    <x:row r="240" ht="32.400001525878906" hidden="0" customHeight="1">
      <x:c r="A240" s="34" t="n">
        <x:v>237</x:v>
      </x:c>
      <x:c r="B240" s="35" t="str">
        <x:v>RI</x:v>
      </x:c>
      <x:c r="C240" s="35" t="n">
        <x:f>LEN(B240)</x:f>
        <x:v>2</x:v>
      </x:c>
      <x:c r="D240" s="35" t="n">
        <x:v>0</x:v>
      </x:c>
      <x:c r="E240" s="21" t="str">
        <x:v>umami, bitter, sour</x:v>
      </x:c>
      <x:c r="F240" s="21" t="str">
        <x:v>B1 - excluded as salty in the same sensory study</x:v>
      </x:c>
      <x:c r="G240" s="21" t="str">
        <x:v>synthetic peptide; trained human sensory panel; direct descriptive sensory evaluation; no salty descriptor; detection threshold 0.25 +/- 0.12 mg/mL; relaxed negative criterion</x:v>
      </x:c>
      <x:c r="H240" s="22" t="str">
        <x:v>10.1016/j.ijgfs.2026.101477</x:v>
      </x:c>
    </x:row>
    <x:row r="241" ht="32.400001525878906" hidden="0" customHeight="1">
      <x:c r="A241" s="34" t="n">
        <x:v>238</x:v>
      </x:c>
      <x:c r="B241" s="35" t="str">
        <x:v>TGQ</x:v>
      </x:c>
      <x:c r="C241" s="35" t="n">
        <x:f>LEN(B241)</x:f>
        <x:v>3</x:v>
      </x:c>
      <x:c r="D241" s="35" t="n">
        <x:v>0</x:v>
      </x:c>
      <x:c r="E241" s="21" t="str">
        <x:v>umami, less sweet</x:v>
      </x:c>
      <x:c r="F241" s="21" t="str">
        <x:v>B1 - excluded as salty in the same sensory study</x:v>
      </x:c>
      <x:c r="G241" s="21" t="str">
        <x:v>synthetic peptide; trained human sensory panel; direct descriptive sensory evaluation; no salty descriptor; detection threshold 0.25 +/- 0.06 mg/mL; relaxed negative criterion</x:v>
      </x:c>
      <x:c r="H241" s="22" t="str">
        <x:v>10.1016/j.ijgfs.2026.101477</x:v>
      </x:c>
    </x:row>
    <x:row r="242" ht="32.400001525878906" hidden="0" customHeight="1">
      <x:c r="A242" s="34" t="n">
        <x:v>239</x:v>
      </x:c>
      <x:c r="B242" s="35" t="str">
        <x:v>LDFR</x:v>
      </x:c>
      <x:c r="C242" s="35" t="n">
        <x:f>LEN(B242)</x:f>
        <x:v>4</x:v>
      </x:c>
      <x:c r="D242" s="35" t="n">
        <x:v>0</x:v>
      </x:c>
      <x:c r="E242" s="21" t="str">
        <x:v>umami, sourness, slight bitterness</x:v>
      </x:c>
      <x:c r="F242" s="21" t="str">
        <x:v>B1 - excluded as salty in the same sensory study</x:v>
      </x:c>
      <x:c r="G242" s="21" t="str">
        <x:v>synthetic peptide; trained human sensory panel; direct descriptive sensory evaluation; no salty descriptor; 1 mg/mL; taste threshold 0.11 mmol/L; relaxed negative criterion</x:v>
      </x:c>
      <x:c r="H242" s="22" t="str">
        <x:v>10.1016/j.foodchem.2025.145575</x:v>
      </x:c>
    </x:row>
    <x:row r="243" ht="32.400001525878906" hidden="0" customHeight="1">
      <x:c r="A243" s="34" t="n">
        <x:v>240</x:v>
      </x:c>
      <x:c r="B243" s="35" t="str">
        <x:v>DRAFR</x:v>
      </x:c>
      <x:c r="C243" s="35" t="n">
        <x:f>LEN(B243)</x:f>
        <x:v>5</x:v>
      </x:c>
      <x:c r="D243" s="35" t="n">
        <x:v>0</x:v>
      </x:c>
      <x:c r="E243" s="21" t="str">
        <x:v>umami, sourness</x:v>
      </x:c>
      <x:c r="F243" s="21" t="str">
        <x:v>B1 - excluded as salty in the same sensory study</x:v>
      </x:c>
      <x:c r="G243" s="21" t="str">
        <x:v>synthetic peptide; trained human sensory panel; direct descriptive sensory evaluation; no salty descriptor; 1 mg/mL; taste threshold 0.09 mmol/L; relaxed negative criterion</x:v>
      </x:c>
      <x:c r="H243" s="22" t="str">
        <x:v>10.1016/j.foodchem.2025.145575</x:v>
      </x:c>
    </x:row>
    <x:row r="244" ht="32.400001525878906" hidden="0" customHeight="1">
      <x:c r="A244" s="34" t="n">
        <x:v>241</x:v>
      </x:c>
      <x:c r="B244" s="35" t="str">
        <x:v>AFDDALLK</x:v>
      </x:c>
      <x:c r="C244" s="35" t="n">
        <x:f>LEN(B244)</x:f>
        <x:v>8</x:v>
      </x:c>
      <x:c r="D244" s="35" t="n">
        <x:v>0</x:v>
      </x:c>
      <x:c r="E244" s="21" t="str">
        <x:v>umami, sourness, sweetness</x:v>
      </x:c>
      <x:c r="F244" s="21" t="str">
        <x:v>B1 - excluded as salty in the same sensory study</x:v>
      </x:c>
      <x:c r="G244" s="21" t="str">
        <x:v>synthetic peptide; trained human sensory panel; direct descriptive sensory evaluation; no salty descriptor; 1 mg/mL; taste threshold 0.14 mmol/L; relaxed negative criterion</x:v>
      </x:c>
      <x:c r="H244" s="22" t="str">
        <x:v>10.1016/j.foodchem.2025.145575</x:v>
      </x:c>
    </x:row>
    <x:row r="245" ht="32.400001525878906" hidden="0" customHeight="1">
      <x:c r="A245" s="34" t="n">
        <x:v>242</x:v>
      </x:c>
      <x:c r="B245" s="35" t="str">
        <x:v>VPLDDFR</x:v>
      </x:c>
      <x:c r="C245" s="35" t="n">
        <x:f>LEN(B245)</x:f>
        <x:v>7</x:v>
      </x:c>
      <x:c r="D245" s="35" t="n">
        <x:v>0</x:v>
      </x:c>
      <x:c r="E245" s="21" t="str">
        <x:v>umami, sourness, astringent</x:v>
      </x:c>
      <x:c r="F245" s="21" t="str">
        <x:v>B1 - excluded as salty in the same sensory study</x:v>
      </x:c>
      <x:c r="G245" s="21" t="str">
        <x:v>synthetic peptide; trained human sensory panel; direct descriptive sensory evaluation; no salty descriptor; 1 mg/mL; taste threshold 0.14 mmol/L; relaxed negative criterion</x:v>
      </x:c>
      <x:c r="H245" s="22" t="str">
        <x:v>10.1016/j.foodchem.2025.145575</x:v>
      </x:c>
    </x:row>
    <x:row r="246" ht="32.400001525878906" hidden="0" customHeight="1">
      <x:c r="A246" s="34" t="n">
        <x:v>243</x:v>
      </x:c>
      <x:c r="B246" s="35" t="str">
        <x:v>NGYDMR</x:v>
      </x:c>
      <x:c r="C246" s="35" t="n">
        <x:f>LEN(B246)</x:f>
        <x:v>6</x:v>
      </x:c>
      <x:c r="D246" s="35" t="n">
        <x:v>0</x:v>
      </x:c>
      <x:c r="E246" s="21" t="str">
        <x:v>umami, sweetness</x:v>
      </x:c>
      <x:c r="F246" s="21" t="str">
        <x:v>B1 - excluded as salty in the same sensory study</x:v>
      </x:c>
      <x:c r="G246" s="21" t="str">
        <x:v>synthetic peptide; trained human sensory panel; direct descriptive sensory evaluation; no salty descriptor; 1 mg/mL; taste threshold 0.17 mmol/L; relaxed negative criterion</x:v>
      </x:c>
      <x:c r="H246" s="22" t="str">
        <x:v>10.1016/j.foodchem.2025.145575</x:v>
      </x:c>
    </x:row>
    <x:row r="247" ht="32.400001525878906" hidden="0" customHeight="1">
      <x:c r="A247" s="34" t="n">
        <x:v>244</x:v>
      </x:c>
      <x:c r="B247" s="35" t="str">
        <x:v>VLRDF</x:v>
      </x:c>
      <x:c r="C247" s="35" t="n">
        <x:f>LEN(B247)</x:f>
        <x:v>5</x:v>
      </x:c>
      <x:c r="D247" s="35" t="n">
        <x:v>0</x:v>
      </x:c>
      <x:c r="E247" s="21" t="str">
        <x:v>umami, sourness, slight bitterness</x:v>
      </x:c>
      <x:c r="F247" s="21" t="str">
        <x:v>B1 - excluded as salty in the same sensory study</x:v>
      </x:c>
      <x:c r="G247" s="21" t="str">
        <x:v>synthetic peptide; trained human sensory panel; direct descriptive sensory evaluation; no salty descriptor; 1 mg/mL; taste threshold 0.05 mmol/L; relaxed negative criterion</x:v>
      </x:c>
      <x:c r="H247" s="22" t="str">
        <x:v>10.1016/j.foodchem.2025.145575</x:v>
      </x:c>
    </x:row>
    <x:row r="248" ht="32.400001525878906" hidden="0" customHeight="1">
      <x:c r="A248" s="34" t="n">
        <x:v>245</x:v>
      </x:c>
      <x:c r="B248" s="35" t="str">
        <x:v>EAVF</x:v>
      </x:c>
      <x:c r="C248" s="35" t="n">
        <x:f>LEN(B248)</x:f>
        <x:v>4</x:v>
      </x:c>
      <x:c r="D248" s="35" t="n">
        <x:v>0</x:v>
      </x:c>
      <x:c r="E248" s="21" t="str">
        <x:v>umami, sweet</x:v>
      </x:c>
      <x:c r="F248" s="21" t="str">
        <x:v>B1 - excluded as salty in the same sensory study</x:v>
      </x:c>
      <x:c r="G248" s="21" t="str">
        <x:v>synthetic peptide; trained human sensory panel; direct descriptive sensory evaluation; no salty descriptor; detection threshold 2.83 mmol/L; relaxed negative criterion</x:v>
      </x:c>
      <x:c r="H248" s="22" t="str">
        <x:v>10.1016/j.foodchem.2025.146538</x:v>
      </x:c>
    </x:row>
    <x:row r="249" ht="32.400001525878906" hidden="0" customHeight="1">
      <x:c r="A249" s="34" t="n">
        <x:v>246</x:v>
      </x:c>
      <x:c r="B249" s="35" t="str">
        <x:v>ELR</x:v>
      </x:c>
      <x:c r="C249" s="35" t="n">
        <x:f>LEN(B249)</x:f>
        <x:v>3</x:v>
      </x:c>
      <x:c r="D249" s="35" t="n">
        <x:v>0</x:v>
      </x:c>
      <x:c r="E249" s="21" t="str">
        <x:v>umami, bitter</x:v>
      </x:c>
      <x:c r="F249" s="21" t="str">
        <x:v>B1 - excluded as salty in the same sensory study</x:v>
      </x:c>
      <x:c r="G249" s="21" t="str">
        <x:v>synthetic peptide; trained human sensory panel; direct descriptive sensory evaluation; no salty descriptor; detection threshold 1.11 mmol/L; relaxed negative criterion</x:v>
      </x:c>
      <x:c r="H249" s="22" t="str">
        <x:v>10.1016/j.foodchem.2025.146538</x:v>
      </x:c>
    </x:row>
    <x:row r="250" ht="32.400001525878906" hidden="0" customHeight="1">
      <x:c r="A250" s="34" t="n">
        <x:v>247</x:v>
      </x:c>
      <x:c r="B250" s="35" t="str">
        <x:v>TAFE</x:v>
      </x:c>
      <x:c r="C250" s="35" t="n">
        <x:f>LEN(B250)</x:f>
        <x:v>4</x:v>
      </x:c>
      <x:c r="D250" s="35" t="n">
        <x:v>0</x:v>
      </x:c>
      <x:c r="E250" s="21" t="str">
        <x:v>umami, bitter</x:v>
      </x:c>
      <x:c r="F250" s="21" t="str">
        <x:v>B1 - excluded as salty in the same sensory study</x:v>
      </x:c>
      <x:c r="G250" s="21" t="str">
        <x:v>synthetic peptide; trained human sensory panel; direct descriptive sensory evaluation; no salty descriptor; detection threshold 1.99 mmol/L; relaxed negative criterion</x:v>
      </x:c>
      <x:c r="H250" s="22" t="str">
        <x:v>10.1016/j.foodchem.2025.146538</x:v>
      </x:c>
    </x:row>
    <x:row r="251" ht="32.400001525878906" hidden="0" customHeight="1">
      <x:c r="A251" s="34" t="n">
        <x:v>248</x:v>
      </x:c>
      <x:c r="B251" s="35" t="str">
        <x:v>VEAL</x:v>
      </x:c>
      <x:c r="C251" s="35" t="n">
        <x:f>LEN(B251)</x:f>
        <x:v>4</x:v>
      </x:c>
      <x:c r="D251" s="35" t="n">
        <x:v>0</x:v>
      </x:c>
      <x:c r="E251" s="21" t="str">
        <x:v>umami, bitter</x:v>
      </x:c>
      <x:c r="F251" s="21" t="str">
        <x:v>B1 - excluded as salty in the same sensory study</x:v>
      </x:c>
      <x:c r="G251" s="21" t="str">
        <x:v>synthetic peptide; trained human sensory panel; direct descriptive sensory evaluation; no salty descriptor; detection threshold 1.71 mmol/L; relaxed negative criterion</x:v>
      </x:c>
      <x:c r="H251" s="22" t="str">
        <x:v>10.1016/j.foodchem.2025.146538</x:v>
      </x:c>
    </x:row>
    <x:row r="252" ht="32.400001525878906" hidden="0" customHeight="1">
      <x:c r="A252" s="34" t="n">
        <x:v>249</x:v>
      </x:c>
      <x:c r="B252" s="35" t="str">
        <x:v>VEL</x:v>
      </x:c>
      <x:c r="C252" s="35" t="n">
        <x:f>LEN(B252)</x:f>
        <x:v>3</x:v>
      </x:c>
      <x:c r="D252" s="35" t="n">
        <x:v>0</x:v>
      </x:c>
      <x:c r="E252" s="21" t="str">
        <x:v>umami, bitter</x:v>
      </x:c>
      <x:c r="F252" s="21" t="str">
        <x:v>B1 - excluded as salty in the same sensory study</x:v>
      </x:c>
      <x:c r="G252" s="21" t="str">
        <x:v>synthetic peptide; trained human sensory panel; direct descriptive sensory evaluation; no salty descriptor; detection threshold 1.00 mmol/L; relaxed negative criterion</x:v>
      </x:c>
      <x:c r="H252" s="22" t="str">
        <x:v>10.1016/j.foodchem.2025.146538</x:v>
      </x:c>
    </x:row>
    <x:row r="253" ht="32.400001525878906" hidden="0" customHeight="1">
      <x:c r="A253" s="34" t="n">
        <x:v>250</x:v>
      </x:c>
      <x:c r="B253" s="35" t="str">
        <x:v>VELQ</x:v>
      </x:c>
      <x:c r="C253" s="35" t="n">
        <x:f>LEN(B253)</x:f>
        <x:v>4</x:v>
      </x:c>
      <x:c r="D253" s="35" t="n">
        <x:v>0</x:v>
      </x:c>
      <x:c r="E253" s="21" t="str">
        <x:v>umami, sour</x:v>
      </x:c>
      <x:c r="F253" s="21" t="str">
        <x:v>B1 - excluded as salty in the same sensory study</x:v>
      </x:c>
      <x:c r="G253" s="21" t="str">
        <x:v>synthetic peptide; trained human sensory panel; direct descriptive sensory evaluation; no salty descriptor; detection threshold 1.73 mmol/L; relaxed negative criterion</x:v>
      </x:c>
      <x:c r="H253" s="22" t="str">
        <x:v>10.1016/j.foodchem.2025.146538</x:v>
      </x:c>
    </x:row>
    <x:row r="254" ht="32.400001525878906" hidden="0" customHeight="1">
      <x:c r="A254" s="34" t="n">
        <x:v>251</x:v>
      </x:c>
      <x:c r="B254" s="35" t="str">
        <x:v>SKKTVDME</x:v>
      </x:c>
      <x:c r="C254" s="35" t="n">
        <x:f>LEN(B254)</x:f>
        <x:v>8</x:v>
      </x:c>
      <x:c r="D254" s="35" t="n">
        <x:v>0</x:v>
      </x:c>
      <x:c r="E254" s="21" t="str">
        <x:v>bitter, umami, astringent</x:v>
      </x:c>
      <x:c r="F254" s="21" t="str">
        <x:v>B1 - excluded as salty in the same sensory study</x:v>
      </x:c>
      <x:c r="G254" s="21" t="str">
        <x:v>synthetic peptide; trained human sensory panel; direct descriptive sensory evaluation; no salty descriptor; 2 mg/mL; detection threshold 0.33 mmol/L; relaxed negative criterion</x:v>
      </x:c>
      <x:c r="H254" s="22" t="str">
        <x:v>10.1016/j.foodchem.2026.147994</x:v>
      </x:c>
    </x:row>
    <x:row r="255" ht="32.400001525878906" hidden="0" customHeight="1">
      <x:c r="A255" s="34" t="n">
        <x:v>252</x:v>
      </x:c>
      <x:c r="B255" s="35" t="str">
        <x:v>VMGVSKVK</x:v>
      </x:c>
      <x:c r="C255" s="35" t="n">
        <x:f>LEN(B255)</x:f>
        <x:v>8</x:v>
      </x:c>
      <x:c r="D255" s="35" t="n">
        <x:v>0</x:v>
      </x:c>
      <x:c r="E255" s="21" t="str">
        <x:v>umami, astringent</x:v>
      </x:c>
      <x:c r="F255" s="21" t="str">
        <x:v>B1 - excluded as salty in the same sensory study</x:v>
      </x:c>
      <x:c r="G255" s="21" t="str">
        <x:v>synthetic peptide; trained human sensory panel; direct descriptive sensory evaluation; no salty descriptor; 2 mg/mL; detection threshold 0.66 mmol/L; relaxed negative criterion</x:v>
      </x:c>
      <x:c r="H255" s="22" t="str">
        <x:v>10.1016/j.foodchem.2026.147994</x:v>
      </x:c>
    </x:row>
    <x:row r="256" ht="32.400001525878906" hidden="0" customHeight="1">
      <x:c r="A256" s="34" t="n">
        <x:v>253</x:v>
      </x:c>
      <x:c r="B256" s="35" t="str">
        <x:v>EVLNE</x:v>
      </x:c>
      <x:c r="C256" s="35" t="n">
        <x:f>LEN(B256)</x:f>
        <x:v>5</x:v>
      </x:c>
      <x:c r="D256" s="35" t="n">
        <x:v>0</x:v>
      </x:c>
      <x:c r="E256" s="21" t="str">
        <x:v>sour, umami, astringent</x:v>
      </x:c>
      <x:c r="F256" s="21" t="str">
        <x:v>B1 - excluded as salty in the same sensory study</x:v>
      </x:c>
      <x:c r="G256" s="21" t="str">
        <x:v>synthetic peptide; trained human sensory panel; direct descriptive sensory evaluation; no salty descriptor; 2 mg/mL; detection threshold 0.33 mmol/L; relaxed negative criterion</x:v>
      </x:c>
      <x:c r="H256" s="22" t="str">
        <x:v>10.1016/j.foodchem.2026.147994</x:v>
      </x:c>
    </x:row>
    <x:row r="257" ht="32.400001525878906" hidden="0" customHeight="1">
      <x:c r="A257" s="34" t="n">
        <x:v>254</x:v>
      </x:c>
      <x:c r="B257" s="35" t="str">
        <x:v>KEKVN</x:v>
      </x:c>
      <x:c r="C257" s="35" t="n">
        <x:f>LEN(B257)</x:f>
        <x:v>5</x:v>
      </x:c>
      <x:c r="D257" s="35" t="n">
        <x:v>0</x:v>
      </x:c>
      <x:c r="E257" s="21" t="str">
        <x:v>sweet, umami, astringent</x:v>
      </x:c>
      <x:c r="F257" s="21" t="str">
        <x:v>B1 - excluded as salty in the same sensory study</x:v>
      </x:c>
      <x:c r="G257" s="21" t="str">
        <x:v>synthetic peptide; trained human sensory panel; direct descriptive sensory evaluation; no salty descriptor; 2 mg/mL; detection threshold 0.93 mmol/L; relaxed negative criterion</x:v>
      </x:c>
      <x:c r="H257" s="22" t="str">
        <x:v>10.1016/j.foodchem.2026.147994</x:v>
      </x:c>
    </x:row>
    <x:row r="258" ht="32.400001525878906" hidden="0" customHeight="1">
      <x:c r="A258" s="34" t="n">
        <x:v>255</x:v>
      </x:c>
      <x:c r="B258" s="35" t="str">
        <x:v>EVFTKK</x:v>
      </x:c>
      <x:c r="C258" s="35" t="n">
        <x:f>LEN(B258)</x:f>
        <x:v>6</x:v>
      </x:c>
      <x:c r="D258" s="35" t="n">
        <x:v>0</x:v>
      </x:c>
      <x:c r="E258" s="21" t="str">
        <x:v>umami, astringent</x:v>
      </x:c>
      <x:c r="F258" s="21" t="str">
        <x:v>B1 - excluded as salty in the same sensory study</x:v>
      </x:c>
      <x:c r="G258" s="21" t="str">
        <x:v>synthetic peptide; trained human sensory panel; direct descriptive sensory evaluation; no salty descriptor; 2 mg/mL; detection threshold 0.72 mmol/L; relaxed negative criterion</x:v>
      </x:c>
      <x:c r="H258" s="22" t="str">
        <x:v>10.1016/j.foodchem.2026.147994</x:v>
      </x:c>
    </x:row>
    <x:row r="259" ht="32.400001525878906" hidden="0" customHeight="1">
      <x:c r="A259" s="34" t="n">
        <x:v>256</x:v>
      </x:c>
      <x:c r="B259" s="35" t="str">
        <x:v>GVSKVKE</x:v>
      </x:c>
      <x:c r="C259" s="35" t="n">
        <x:f>LEN(B259)</x:f>
        <x:v>7</x:v>
      </x:c>
      <x:c r="D259" s="35" t="n">
        <x:v>0</x:v>
      </x:c>
      <x:c r="E259" s="21" t="str">
        <x:v>sour; umami not significantly perceived</x:v>
      </x:c>
      <x:c r="F259" s="21" t="str">
        <x:v>B1 - excluded as salty in the same sensory study</x:v>
      </x:c>
      <x:c r="G259" s="21" t="str">
        <x:v>synthetic peptide; trained human sensory panel; direct descriptive sensory evaluation; no salty descriptor; 2 mg/mL; detection threshold 0.34 mmol/L; relaxed negative criterion</x:v>
      </x:c>
      <x:c r="H259" s="22" t="str">
        <x:v>10.1016/j.foodchem.2026.147994</x:v>
      </x:c>
    </x:row>
    <x:row r="260" ht="32.400001525878906" hidden="0" customHeight="1">
      <x:c r="A260" s="34" t="n">
        <x:v>257</x:v>
      </x:c>
      <x:c r="B260" s="35" t="str">
        <x:v>FSDKIAK</x:v>
      </x:c>
      <x:c r="C260" s="35" t="n">
        <x:f>LEN(B260)</x:f>
        <x:v>7</x:v>
      </x:c>
      <x:c r="D260" s="35" t="n">
        <x:v>0</x:v>
      </x:c>
      <x:c r="E260" s="21" t="str">
        <x:v>sour, umami</x:v>
      </x:c>
      <x:c r="F260" s="21" t="str">
        <x:v>B1 - excluded as salty in the same sensory study</x:v>
      </x:c>
      <x:c r="G260" s="21" t="str">
        <x:v>synthetic peptide; trained human sensory panel; direct descriptive sensory evaluation; no salty descriptor; 2 mg/mL; detection threshold 0.57 mmol/L; relaxed negative criterion</x:v>
      </x:c>
      <x:c r="H260" s="22" t="str">
        <x:v>10.1016/j.foodchem.2026.147994</x:v>
      </x:c>
    </x:row>
    <x:row r="261" ht="32.400001525878906" hidden="0" customHeight="1">
      <x:c r="A261" s="34" t="n">
        <x:v>258</x:v>
      </x:c>
      <x:c r="B261" s="35" t="str">
        <x:v>TVYQHQK</x:v>
      </x:c>
      <x:c r="C261" s="35" t="n">
        <x:f>LEN(B261)</x:f>
        <x:v>7</x:v>
      </x:c>
      <x:c r="D261" s="35" t="n">
        <x:v>0</x:v>
      </x:c>
      <x:c r="E261" s="21" t="str">
        <x:v>sour, umami</x:v>
      </x:c>
      <x:c r="F261" s="21" t="str">
        <x:v>B1 - excluded as salty in the same sensory study</x:v>
      </x:c>
      <x:c r="G261" s="21" t="str">
        <x:v>synthetic peptide; trained human sensory panel; direct descriptive sensory evaluation; no salty descriptor; 2 mg/mL; detection threshold 0.21 mmol/L; relaxed negative criterion</x:v>
      </x:c>
      <x:c r="H261" s="22" t="str">
        <x:v>10.1016/j.foodchem.2026.147994</x:v>
      </x:c>
    </x:row>
    <x:row r="262" ht="32.400001525878906" hidden="0" customHeight="1">
      <x:c r="A262" s="34" t="n">
        <x:v>259</x:v>
      </x:c>
      <x:c r="B262" s="35" t="str">
        <x:v>QGPDNFK</x:v>
      </x:c>
      <x:c r="C262" s="35" t="n">
        <x:f>LEN(B262)</x:f>
        <x:v>7</x:v>
      </x:c>
      <x:c r="D262" s="35" t="n">
        <x:v>0</x:v>
      </x:c>
      <x:c r="E262" s="21" t="str">
        <x:v>umami, sourness</x:v>
      </x:c>
      <x:c r="F262" s="21" t="str">
        <x:v>B1 - excluded as salty in the same sensory study</x:v>
      </x:c>
      <x:c r="G262" s="21" t="str">
        <x:v>synthetic peptide; trained human sensory panel; direct descriptive sensory evaluation; no salty descriptor; 1 mg/mL; threshold 0.08 +/- 0.01 mmol/L; relaxed negative criterion</x:v>
      </x:c>
      <x:c r="H262" s="22" t="str">
        <x:v>10.1016/j.fochx.2025.102964</x:v>
      </x:c>
    </x:row>
    <x:row r="263" ht="32.400001525878906" hidden="0" customHeight="1">
      <x:c r="A263" s="34" t="n">
        <x:v>260</x:v>
      </x:c>
      <x:c r="B263" s="35" t="str">
        <x:v>LPGQDQWAGR</x:v>
      </x:c>
      <x:c r="C263" s="35" t="n">
        <x:f>LEN(B263)</x:f>
        <x:v>10</x:v>
      </x:c>
      <x:c r="D263" s="35" t="n">
        <x:v>0</x:v>
      </x:c>
      <x:c r="E263" s="21" t="str">
        <x:v>umami, sourness</x:v>
      </x:c>
      <x:c r="F263" s="21" t="str">
        <x:v>B1 - excluded as salty in the same sensory study</x:v>
      </x:c>
      <x:c r="G263" s="21" t="str">
        <x:v>synthetic peptide; trained human sensory panel; direct descriptive sensory evaluation; no salty descriptor; 1 mg/mL; threshold 0.12 +/- 0.01 mmol/L; relaxed negative criterion</x:v>
      </x:c>
      <x:c r="H263" s="22" t="str">
        <x:v>10.1016/j.fochx.2025.102964</x:v>
      </x:c>
    </x:row>
    <x:row r="264" ht="32.400001525878906" hidden="0" customHeight="1">
      <x:c r="A264" s="34" t="n">
        <x:v>261</x:v>
      </x:c>
      <x:c r="B264" s="35" t="str">
        <x:v>EGPLHDF</x:v>
      </x:c>
      <x:c r="C264" s="35" t="n">
        <x:f>LEN(B264)</x:f>
        <x:v>7</x:v>
      </x:c>
      <x:c r="D264" s="35" t="n">
        <x:v>0</x:v>
      </x:c>
      <x:c r="E264" s="21" t="str">
        <x:v>umami, sourness, sweetness</x:v>
      </x:c>
      <x:c r="F264" s="21" t="str">
        <x:v>B1 - excluded as salty in the same sensory study</x:v>
      </x:c>
      <x:c r="G264" s="21" t="str">
        <x:v>synthetic peptide; trained human sensory panel; direct descriptive sensory evaluation; no salty descriptor; 1 mg/mL; threshold 0.08 +/- 0.007 mmol/L; relaxed negative criterion</x:v>
      </x:c>
      <x:c r="H264" s="22" t="str">
        <x:v>10.1016/j.fochx.2025.102964</x:v>
      </x:c>
    </x:row>
    <x:row r="265" ht="32.400001525878906" hidden="0" customHeight="1">
      <x:c r="A265" s="34" t="n">
        <x:v>262</x:v>
      </x:c>
      <x:c r="B265" s="35" t="str">
        <x:v>APDGLPTGQ</x:v>
      </x:c>
      <x:c r="C265" s="35" t="n">
        <x:f>LEN(B265)</x:f>
        <x:v>9</x:v>
      </x:c>
      <x:c r="D265" s="35" t="n">
        <x:v>0</x:v>
      </x:c>
      <x:c r="E265" s="21" t="str">
        <x:v>umami, sourness</x:v>
      </x:c>
      <x:c r="F265" s="21" t="str">
        <x:v>B1 - excluded as salty in the same sensory study</x:v>
      </x:c>
      <x:c r="G265" s="21" t="str">
        <x:v>synthetic peptide; trained human sensory panel; direct descriptive sensory evaluation; no salty descriptor; 1 mg/mL; threshold 0.15 +/- 0.11 mmol/L; relaxed negative criterion</x:v>
      </x:c>
      <x:c r="H265" s="22" t="str">
        <x:v>10.1016/j.fochx.2025.102964</x:v>
      </x:c>
    </x:row>
    <x:row r="266" ht="32.400001525878906" hidden="0" customHeight="1">
      <x:c r="A266" s="34" t="n">
        <x:v>263</x:v>
      </x:c>
      <x:c r="B266" s="35" t="str">
        <x:v>GLGDDL</x:v>
      </x:c>
      <x:c r="C266" s="35" t="n">
        <x:f>LEN(B266)</x:f>
        <x:v>6</x:v>
      </x:c>
      <x:c r="D266" s="35" t="n">
        <x:v>0</x:v>
      </x:c>
      <x:c r="E266" s="21" t="str">
        <x:v>umami, sourness, sweetness</x:v>
      </x:c>
      <x:c r="F266" s="21" t="str">
        <x:v>B1 - excluded as salty in the same sensory study</x:v>
      </x:c>
      <x:c r="G266" s="21" t="str">
        <x:v>synthetic peptide; trained human sensory panel; direct descriptive sensory evaluation; no salty descriptor; 1 mg/mL; threshold 0.11 +/- 0.008 mmol/L; relaxed negative criterion</x:v>
      </x:c>
      <x:c r="H266" s="22" t="str">
        <x:v>10.1016/j.fochx.2025.102964</x:v>
      </x:c>
    </x:row>
    <x:row r="267" ht="32.400001525878906" hidden="0" customHeight="1">
      <x:c r="A267" s="34" t="n">
        <x:v>264</x:v>
      </x:c>
      <x:c r="B267" s="35" t="str">
        <x:v>SDDGFQ</x:v>
      </x:c>
      <x:c r="C267" s="35" t="n">
        <x:f>LEN(B267)</x:f>
        <x:v>6</x:v>
      </x:c>
      <x:c r="D267" s="35" t="n">
        <x:v>0</x:v>
      </x:c>
      <x:c r="E267" s="21" t="str">
        <x:v>umami, sourness</x:v>
      </x:c>
      <x:c r="F267" s="21" t="str">
        <x:v>B1 - excluded as salty in the same sensory study</x:v>
      </x:c>
      <x:c r="G267" s="21" t="str">
        <x:v>synthetic peptide; trained human sensory panel; direct descriptive sensory evaluation; no salty descriptor; 1 mg/mL; threshold 0.09 +/- 0.006 mmol/L; relaxed negative criterion</x:v>
      </x:c>
      <x:c r="H267" s="22" t="str">
        <x:v>10.1016/j.fochx.2025.102964</x:v>
      </x:c>
    </x:row>
    <x:row r="268" ht="32.400001525878906" hidden="0" customHeight="1">
      <x:c r="A268" s="34" t="n">
        <x:v>265</x:v>
      </x:c>
      <x:c r="B268" s="35" t="str">
        <x:v>WGDAP</x:v>
      </x:c>
      <x:c r="C268" s="35" t="n">
        <x:f>LEN(B268)</x:f>
        <x:v>5</x:v>
      </x:c>
      <x:c r="D268" s="35" t="n">
        <x:v>0</x:v>
      </x:c>
      <x:c r="E268" s="21" t="str">
        <x:v>umami, sourness, sweetness</x:v>
      </x:c>
      <x:c r="F268" s="21" t="str">
        <x:v>B1 - excluded as salty in the same sensory study</x:v>
      </x:c>
      <x:c r="G268" s="21" t="str">
        <x:v>synthetic peptide; trained human sensory panel; direct descriptive sensory evaluation; no salty descriptor; 1 mg/mL; threshold 0.23 +/- 0.016 mmol/L; relaxed negative criterion</x:v>
      </x:c>
      <x:c r="H268" s="22" t="str">
        <x:v>10.1016/j.fochx.2025.103105</x:v>
      </x:c>
    </x:row>
    <x:row r="269" ht="32.400001525878906" hidden="0" customHeight="1">
      <x:c r="A269" s="34" t="n">
        <x:v>266</x:v>
      </x:c>
      <x:c r="B269" s="35" t="str">
        <x:v>GDLP</x:v>
      </x:c>
      <x:c r="C269" s="35" t="n">
        <x:f>LEN(B269)</x:f>
        <x:v>4</x:v>
      </x:c>
      <x:c r="D269" s="35" t="n">
        <x:v>0</x:v>
      </x:c>
      <x:c r="E269" s="21" t="str">
        <x:v>umami, sourness</x:v>
      </x:c>
      <x:c r="F269" s="21" t="str">
        <x:v>B1 - excluded as salty in the same sensory study</x:v>
      </x:c>
      <x:c r="G269" s="21" t="str">
        <x:v>synthetic peptide; trained human sensory panel; direct descriptive sensory evaluation; no salty descriptor; 1 mg/mL; threshold 0.08 +/- 0.009 mmol/L; relaxed negative criterion</x:v>
      </x:c>
      <x:c r="H269" s="22" t="str">
        <x:v>10.1016/j.fochx.2025.103105</x:v>
      </x:c>
    </x:row>
    <x:row r="270" ht="32.400001525878906" hidden="0" customHeight="1">
      <x:c r="A270" s="34" t="n">
        <x:v>267</x:v>
      </x:c>
      <x:c r="B270" s="35" t="str">
        <x:v>DGFE</x:v>
      </x:c>
      <x:c r="C270" s="35" t="n">
        <x:f>LEN(B270)</x:f>
        <x:v>4</x:v>
      </x:c>
      <x:c r="D270" s="35" t="n">
        <x:v>0</x:v>
      </x:c>
      <x:c r="E270" s="21" t="str">
        <x:v>umami, sourness</x:v>
      </x:c>
      <x:c r="F270" s="21" t="str">
        <x:v>B1 - excluded as salty in the same sensory study</x:v>
      </x:c>
      <x:c r="G270" s="21" t="str">
        <x:v>synthetic peptide; trained human sensory panel; direct descriptive sensory evaluation; no salty descriptor; 1 mg/mL; threshold 0.07 +/- 0.005 mmol/L; relaxed negative criterion; threshold 0.28 mmol/L</x:v>
      </x:c>
      <x:c r="H270" s="22" t="str">
        <x:v>10.1016/j.fochx.2025.103105; 10.1016/j.foodchem.2026.148141</x:v>
      </x:c>
    </x:row>
    <x:row r="271" ht="32.400001525878906" hidden="0" customHeight="1">
      <x:c r="A271" s="34" t="n">
        <x:v>268</x:v>
      </x:c>
      <x:c r="B271" s="35" t="str">
        <x:v>GGDLP</x:v>
      </x:c>
      <x:c r="C271" s="35" t="n">
        <x:f>LEN(B271)</x:f>
        <x:v>5</x:v>
      </x:c>
      <x:c r="D271" s="35" t="n">
        <x:v>0</x:v>
      </x:c>
      <x:c r="E271" s="21" t="str">
        <x:v>umami, sourness</x:v>
      </x:c>
      <x:c r="F271" s="21" t="str">
        <x:v>B1 - excluded as salty in the same sensory study</x:v>
      </x:c>
      <x:c r="G271" s="21" t="str">
        <x:v>synthetic peptide; trained human sensory panel; direct descriptive sensory evaluation; no salty descriptor; 1 mg/mL; threshold 0.07 +/- 0.006 mmol/L; relaxed negative criterion</x:v>
      </x:c>
      <x:c r="H271" s="22" t="str">
        <x:v>10.1016/j.fochx.2025.103105</x:v>
      </x:c>
    </x:row>
    <x:row r="272" ht="32.400001525878906" hidden="0" customHeight="1">
      <x:c r="A272" s="34" t="n">
        <x:v>269</x:v>
      </x:c>
      <x:c r="B272" s="35" t="str">
        <x:v>LDGMA</x:v>
      </x:c>
      <x:c r="C272" s="35" t="n">
        <x:f>LEN(B272)</x:f>
        <x:v>5</x:v>
      </x:c>
      <x:c r="D272" s="35" t="n">
        <x:v>0</x:v>
      </x:c>
      <x:c r="E272" s="21" t="str">
        <x:v>umami, sourness, sweetness</x:v>
      </x:c>
      <x:c r="F272" s="21" t="str">
        <x:v>B1 - excluded as salty in the same sensory study</x:v>
      </x:c>
      <x:c r="G272" s="21" t="str">
        <x:v>synthetic peptide; trained human sensory panel; direct descriptive sensory evaluation; no salty descriptor; 1 mg/mL; threshold 0.12 +/- 0.013 mmol/L; relaxed negative criterion</x:v>
      </x:c>
      <x:c r="H272" s="22" t="str">
        <x:v>10.1016/j.fochx.2025.103105</x:v>
      </x:c>
    </x:row>
    <x:row r="273" ht="32.400001525878906" hidden="0" customHeight="1">
      <x:c r="A273" s="34" t="n">
        <x:v>270</x:v>
      </x:c>
      <x:c r="B273" s="35" t="str">
        <x:v>NPPGDF</x:v>
      </x:c>
      <x:c r="C273" s="35" t="n">
        <x:f>LEN(B273)</x:f>
        <x:v>6</x:v>
      </x:c>
      <x:c r="D273" s="35" t="n">
        <x:v>0</x:v>
      </x:c>
      <x:c r="E273" s="21" t="str">
        <x:v>umami, sourness, sweetness</x:v>
      </x:c>
      <x:c r="F273" s="21" t="str">
        <x:v>B1 - excluded as salty in the same sensory study</x:v>
      </x:c>
      <x:c r="G273" s="21" t="str">
        <x:v>synthetic peptide; trained human sensory panel; direct descriptive sensory evaluation; no salty descriptor; 1 mg/mL; threshold 0.10 +/- 0.007 mmol/L; relaxed negative criterion</x:v>
      </x:c>
      <x:c r="H273" s="22" t="str">
        <x:v>10.1016/j.fochx.2025.103105</x:v>
      </x:c>
    </x:row>
    <x:row r="274" ht="32.400001525878906" hidden="0" customHeight="1">
      <x:c r="A274" s="34" t="n">
        <x:v>271</x:v>
      </x:c>
      <x:c r="B274" s="35" t="str">
        <x:v>YGQPDNFK</x:v>
      </x:c>
      <x:c r="C274" s="35" t="n">
        <x:f>LEN(B274)</x:f>
        <x:v>8</x:v>
      </x:c>
      <x:c r="D274" s="35" t="n">
        <x:v>0</x:v>
      </x:c>
      <x:c r="E274" s="21" t="str">
        <x:v>umami, sourness, bitterness</x:v>
      </x:c>
      <x:c r="F274" s="21" t="str">
        <x:v>B1 - excluded as salty in the same sensory study</x:v>
      </x:c>
      <x:c r="G274" s="21" t="str">
        <x:v>synthetic peptide; trained human sensory panel; direct descriptive sensory evaluation; no salty descriptor; 1 mg/mL; threshold 0.12 +/- 0.012 mmol/L; relaxed negative criterion</x:v>
      </x:c>
      <x:c r="H274" s="22" t="str">
        <x:v>10.1016/j.fochx.2025.103105</x:v>
      </x:c>
    </x:row>
    <x:row r="275" ht="32.400001525878906" hidden="0" customHeight="1">
      <x:c r="A275" s="34" t="n">
        <x:v>272</x:v>
      </x:c>
      <x:c r="B275" s="35" t="str">
        <x:v>LNFDM</x:v>
      </x:c>
      <x:c r="C275" s="35" t="n">
        <x:f>LEN(B275)</x:f>
        <x:v>5</x:v>
      </x:c>
      <x:c r="D275" s="35" t="n">
        <x:v>0</x:v>
      </x:c>
      <x:c r="E275" s="21" t="str">
        <x:v>umami, sourness, sweetness</x:v>
      </x:c>
      <x:c r="F275" s="21" t="str">
        <x:v>B1 - excluded as salty in the same sensory study</x:v>
      </x:c>
      <x:c r="G275" s="21" t="str">
        <x:v>synthetic peptide; trained human sensory panel; direct descriptive sensory evaluation; no salty descriptor; 1 mg/mL; threshold 0.10 +/- 0.011 mmol/L; relaxed negative criterion</x:v>
      </x:c>
      <x:c r="H275" s="22" t="str">
        <x:v>10.1016/j.fochx.2025.103105</x:v>
      </x:c>
    </x:row>
    <x:row r="276" ht="32.400001525878906" hidden="0" customHeight="1">
      <x:c r="A276" s="34" t="n">
        <x:v>273</x:v>
      </x:c>
      <x:c r="B276" s="35" t="str">
        <x:v>TDPF</x:v>
      </x:c>
      <x:c r="C276" s="35" t="n">
        <x:f>LEN(B276)</x:f>
        <x:v>4</x:v>
      </x:c>
      <x:c r="D276" s="35" t="n">
        <x:v>0</x:v>
      </x:c>
      <x:c r="E276" s="21" t="str">
        <x:v>umami, sourness</x:v>
      </x:c>
      <x:c r="F276" s="21" t="str">
        <x:v>B1 - excluded as salty in the same sensory study</x:v>
      </x:c>
      <x:c r="G276" s="21" t="str">
        <x:v>synthetic peptide; trained human sensory panel; direct descriptive sensory evaluation; no salty descriptor; threshold 0.26 +/- 0.04 mmol/L; relaxed negative criterion</x:v>
      </x:c>
      <x:c r="H276" s="22" t="str">
        <x:v>10.1016/j.fochx.2026.103779; Supplementary Table S2</x:v>
      </x:c>
    </x:row>
    <x:row r="277" ht="32.400001525878906" hidden="0" customHeight="1">
      <x:c r="A277" s="34" t="n">
        <x:v>274</x:v>
      </x:c>
      <x:c r="B277" s="35" t="str">
        <x:v>DPDGW</x:v>
      </x:c>
      <x:c r="C277" s="35" t="n">
        <x:f>LEN(B277)</x:f>
        <x:v>5</x:v>
      </x:c>
      <x:c r="D277" s="35" t="n">
        <x:v>0</x:v>
      </x:c>
      <x:c r="E277" s="21" t="str">
        <x:v>umami, sourness</x:v>
      </x:c>
      <x:c r="F277" s="21" t="str">
        <x:v>B1 - excluded as salty in the same sensory study</x:v>
      </x:c>
      <x:c r="G277" s="21" t="str">
        <x:v>synthetic peptide; trained human sensory panel; direct descriptive sensory evaluation; no salty descriptor; threshold 0.21 +/- 0.07 mmol/L; relaxed negative criterion</x:v>
      </x:c>
      <x:c r="H277" s="22" t="str">
        <x:v>10.1016/j.fochx.2026.103779; Supplementary Table S2</x:v>
      </x:c>
    </x:row>
    <x:row r="278" ht="32.400001525878906" hidden="0" customHeight="1">
      <x:c r="A278" s="34" t="n">
        <x:v>275</x:v>
      </x:c>
      <x:c r="B278" s="35" t="str">
        <x:v>FPGD</x:v>
      </x:c>
      <x:c r="C278" s="35" t="n">
        <x:f>LEN(B278)</x:f>
        <x:v>4</x:v>
      </x:c>
      <x:c r="D278" s="35" t="n">
        <x:v>0</x:v>
      </x:c>
      <x:c r="E278" s="21" t="str">
        <x:v>umami, sweetness</x:v>
      </x:c>
      <x:c r="F278" s="21" t="str">
        <x:v>B1 - excluded as salty in the same sensory study</x:v>
      </x:c>
      <x:c r="G278" s="21" t="str">
        <x:v>synthetic peptide; trained human sensory panel; direct descriptive sensory evaluation; no salty descriptor; threshold 0.14 +/- 0.01 mmol/L; relaxed negative criterion</x:v>
      </x:c>
      <x:c r="H278" s="22" t="str">
        <x:v>10.1016/j.fochx.2026.103779; Supplementary Table S2</x:v>
      </x:c>
    </x:row>
    <x:row r="279" ht="32.400001525878906" hidden="0" customHeight="1">
      <x:c r="A279" s="34" t="n">
        <x:v>276</x:v>
      </x:c>
      <x:c r="B279" s="35" t="str">
        <x:v>DWAL</x:v>
      </x:c>
      <x:c r="C279" s="35" t="n">
        <x:f>LEN(B279)</x:f>
        <x:v>4</x:v>
      </x:c>
      <x:c r="D279" s="35" t="n">
        <x:v>0</x:v>
      </x:c>
      <x:c r="E279" s="21" t="str">
        <x:v>umami, sweetness</x:v>
      </x:c>
      <x:c r="F279" s="21" t="str">
        <x:v>B1 - excluded as salty in the same sensory study</x:v>
      </x:c>
      <x:c r="G279" s="21" t="str">
        <x:v>synthetic peptide; trained human sensory panel; direct descriptive sensory evaluation; no salty descriptor; threshold 0.25 +/- 0.03 mmol/L; relaxed negative criterion</x:v>
      </x:c>
      <x:c r="H279" s="22" t="str">
        <x:v>10.1016/j.fochx.2026.103779; Supplementary Table S2</x:v>
      </x:c>
    </x:row>
    <x:row r="280" ht="32.400001525878906" hidden="0" customHeight="1">
      <x:c r="A280" s="34" t="n">
        <x:v>277</x:v>
      </x:c>
      <x:c r="B280" s="35" t="str">
        <x:v>DPDWL</x:v>
      </x:c>
      <x:c r="C280" s="35" t="n">
        <x:f>LEN(B280)</x:f>
        <x:v>5</x:v>
      </x:c>
      <x:c r="D280" s="35" t="n">
        <x:v>0</x:v>
      </x:c>
      <x:c r="E280" s="21" t="str">
        <x:v>umami, astringent</x:v>
      </x:c>
      <x:c r="F280" s="21" t="str">
        <x:v>B1 - excluded as salty in the same sensory study</x:v>
      </x:c>
      <x:c r="G280" s="21" t="str">
        <x:v>synthetic peptide; trained human sensory panel; direct descriptive sensory evaluation; no salty descriptor; threshold 0.19 +/- 0.02 mmol/L; relaxed negative criterion</x:v>
      </x:c>
      <x:c r="H280" s="22" t="str">
        <x:v>10.1016/j.fochx.2026.103779; Supplementary Table S2</x:v>
      </x:c>
    </x:row>
    <x:row r="281" ht="32.400001525878906" hidden="0" customHeight="1">
      <x:c r="A281" s="34" t="n">
        <x:v>278</x:v>
      </x:c>
      <x:c r="B281" s="35" t="str">
        <x:v>WGDP</x:v>
      </x:c>
      <x:c r="C281" s="35" t="n">
        <x:f>LEN(B281)</x:f>
        <x:v>4</x:v>
      </x:c>
      <x:c r="D281" s="35" t="n">
        <x:v>0</x:v>
      </x:c>
      <x:c r="E281" s="21" t="str">
        <x:v>umami, sourness, bitterness</x:v>
      </x:c>
      <x:c r="F281" s="21" t="str">
        <x:v>B1 - excluded as salty in the same sensory study</x:v>
      </x:c>
      <x:c r="G281" s="21" t="str">
        <x:v>synthetic peptide; trained human sensory panel; direct descriptive sensory evaluation; no salty descriptor; threshold 0.13 +/- 0.02 mmol/L; relaxed negative criterion</x:v>
      </x:c>
      <x:c r="H281" s="22" t="str">
        <x:v>10.1016/j.fochx.2026.103779; Supplementary Table S2</x:v>
      </x:c>
    </x:row>
    <x:row r="282" ht="32.400001525878906" hidden="0" customHeight="1">
      <x:c r="A282" s="34" t="n">
        <x:v>279</x:v>
      </x:c>
      <x:c r="B282" s="35" t="str">
        <x:v>DPDPL</x:v>
      </x:c>
      <x:c r="C282" s="35" t="n">
        <x:f>LEN(B282)</x:f>
        <x:v>5</x:v>
      </x:c>
      <x:c r="D282" s="35" t="n">
        <x:v>0</x:v>
      </x:c>
      <x:c r="E282" s="21" t="str">
        <x:v>umami, sourness</x:v>
      </x:c>
      <x:c r="F282" s="21" t="str">
        <x:v>B1 - excluded as salty in the same sensory study</x:v>
      </x:c>
      <x:c r="G282" s="21" t="str">
        <x:v>synthetic peptide; trained human sensory panel; direct descriptive sensory evaluation; no salty descriptor; threshold 0.28 +/- 0.02 mmol/L; relaxed negative criterion</x:v>
      </x:c>
      <x:c r="H282" s="22" t="str">
        <x:v>10.1016/j.fochx.2026.103779; Supplementary Table S2</x:v>
      </x:c>
    </x:row>
    <x:row r="283" ht="32.400001525878906" hidden="0" customHeight="1">
      <x:c r="A283" s="34" t="n">
        <x:v>280</x:v>
      </x:c>
      <x:c r="B283" s="35" t="str">
        <x:v>FDLP</x:v>
      </x:c>
      <x:c r="C283" s="35" t="n">
        <x:f>LEN(B283)</x:f>
        <x:v>4</x:v>
      </x:c>
      <x:c r="D283" s="35" t="n">
        <x:v>0</x:v>
      </x:c>
      <x:c r="E283" s="21" t="str">
        <x:v>umami, sweetness</x:v>
      </x:c>
      <x:c r="F283" s="21" t="str">
        <x:v>B1 - excluded as salty in the same sensory study</x:v>
      </x:c>
      <x:c r="G283" s="21" t="str">
        <x:v>synthetic peptide; trained human sensory panel; direct descriptive sensory evaluation; no salty descriptor; threshold 0.25 +/- 0.03 mmol/L; relaxed negative criterion</x:v>
      </x:c>
      <x:c r="H283" s="22" t="str">
        <x:v>10.1016/j.fochx.2026.103779; Supplementary Table S2</x:v>
      </x:c>
    </x:row>
    <x:row r="284" ht="32.400001525878906" hidden="0" customHeight="1">
      <x:c r="A284" s="34" t="n">
        <x:v>281</x:v>
      </x:c>
      <x:c r="B284" s="35" t="str">
        <x:v>DPLF</x:v>
      </x:c>
      <x:c r="C284" s="35" t="n">
        <x:f>LEN(B284)</x:f>
        <x:v>4</x:v>
      </x:c>
      <x:c r="D284" s="35" t="n">
        <x:v>0</x:v>
      </x:c>
      <x:c r="E284" s="21" t="str">
        <x:v>umami, sourness, astringent</x:v>
      </x:c>
      <x:c r="F284" s="21" t="str">
        <x:v>B1 - excluded as salty in the same sensory study</x:v>
      </x:c>
      <x:c r="G284" s="21" t="str">
        <x:v>synthetic peptide; trained human sensory panel; direct descriptive sensory evaluation; no salty descriptor; threshold 0.25 +/- 0.02 mmol/L; relaxed negative criterion</x:v>
      </x:c>
      <x:c r="H284" s="22" t="str">
        <x:v>10.1016/j.fochx.2026.103779; Supplementary Table S2</x:v>
      </x:c>
    </x:row>
    <x:row r="285" ht="32.400001525878906" hidden="0" customHeight="1">
      <x:c r="A285" s="34" t="n">
        <x:v>282</x:v>
      </x:c>
      <x:c r="B285" s="35" t="str">
        <x:v>LDGF</x:v>
      </x:c>
      <x:c r="C285" s="35" t="n">
        <x:f>LEN(B285)</x:f>
        <x:v>4</x:v>
      </x:c>
      <x:c r="D285" s="35" t="n">
        <x:v>0</x:v>
      </x:c>
      <x:c r="E285" s="21" t="str">
        <x:v>umami, sourness</x:v>
      </x:c>
      <x:c r="F285" s="21" t="str">
        <x:v>B1 - excluded as salty in the same sensory study</x:v>
      </x:c>
      <x:c r="G285" s="21" t="str">
        <x:v>synthetic peptide; trained human sensory panel; direct descriptive sensory evaluation; no salty descriptor; threshold 0.13 +/- 0.01 mmol/L; relaxed negative criterion</x:v>
      </x:c>
      <x:c r="H285" s="22" t="str">
        <x:v>10.1016/j.fochx.2026.103779; Supplementary Table S2</x:v>
      </x:c>
    </x:row>
    <x:row r="286" ht="32.400001525878906" hidden="0" customHeight="1">
      <x:c r="A286" s="34" t="n">
        <x:v>283</x:v>
      </x:c>
      <x:c r="B286" s="35" t="str">
        <x:v>HEGEQGQEG</x:v>
      </x:c>
      <x:c r="C286" s="35" t="n">
        <x:f>LEN(B286)</x:f>
        <x:v>9</x:v>
      </x:c>
      <x:c r="D286" s="35" t="n">
        <x:v>0</x:v>
      </x:c>
      <x:c r="E286" s="21" t="str">
        <x:v>weak umami, metallic, sweet</x:v>
      </x:c>
      <x:c r="F286" s="21" t="str">
        <x:v>B1 - excluded as salty in the same sensory study</x:v>
      </x:c>
      <x:c r="G286" s="21" t="str">
        <x:v>synthetic peptide; trained human sensory panel; direct descriptive sensory evaluation; no salty descriptor; water solution adjusted to pH 6.5; umami-recognition threshold 0.281 mg/mL; relaxed negative criterion</x:v>
      </x:c>
      <x:c r="H286" s="22" t="str">
        <x:v>10.1016/j.jfutfo.2025.01.002</x:v>
      </x:c>
    </x:row>
    <x:row r="287" ht="32.400001525878906" hidden="0" customHeight="1">
      <x:c r="A287" s="34" t="n">
        <x:v>284</x:v>
      </x:c>
      <x:c r="B287" s="35" t="str">
        <x:v>AAPHENATLH</x:v>
      </x:c>
      <x:c r="C287" s="35" t="n">
        <x:f>LEN(B287)</x:f>
        <x:v>10</x:v>
      </x:c>
      <x:c r="D287" s="35" t="n">
        <x:v>0</x:v>
      </x:c>
      <x:c r="E287" s="21" t="str">
        <x:v>umami, sweet, metallic</x:v>
      </x:c>
      <x:c r="F287" s="21" t="str">
        <x:v>B1 - excluded as salty in the same sensory study</x:v>
      </x:c>
      <x:c r="G287" s="21" t="str">
        <x:v>synthetic peptide; trained human sensory panel; direct descriptive sensory evaluation; no salty descriptor; water solution adjusted to pH 6.5; umami-recognition threshold 0.234 mg/mL; relaxed negative criterion</x:v>
      </x:c>
      <x:c r="H287" s="22" t="str">
        <x:v>10.1016/j.jfutfo.2025.01.002</x:v>
      </x:c>
    </x:row>
    <x:row r="288" ht="32.400001525878906" hidden="0" customHeight="1">
      <x:c r="A288" s="34" t="n">
        <x:v>285</x:v>
      </x:c>
      <x:c r="B288" s="35" t="str">
        <x:v>ESHQQTLDD</x:v>
      </x:c>
      <x:c r="C288" s="35" t="n">
        <x:f>LEN(B288)</x:f>
        <x:v>9</x:v>
      </x:c>
      <x:c r="D288" s="35" t="n">
        <x:v>0</x:v>
      </x:c>
      <x:c r="E288" s="21" t="str">
        <x:v>sweet, umami, weak sour</x:v>
      </x:c>
      <x:c r="F288" s="21" t="str">
        <x:v>B1 - excluded as salty in the same sensory study</x:v>
      </x:c>
      <x:c r="G288" s="21" t="str">
        <x:v>synthetic peptide; trained human sensory panel; direct descriptive sensory evaluation; no salty descriptor; water solution adjusted to pH 6.5; umami-recognition threshold 0.260 mg/mL; relaxed negative criterion</x:v>
      </x:c>
      <x:c r="H288" s="22" t="str">
        <x:v>10.1016/j.jfutfo.2025.01.002</x:v>
      </x:c>
    </x:row>
    <x:row r="289" ht="32.400001525878906" hidden="0" customHeight="1">
      <x:c r="A289" s="34" t="n">
        <x:v>286</x:v>
      </x:c>
      <x:c r="B289" s="35" t="str">
        <x:v>GEVED</x:v>
      </x:c>
      <x:c r="C289" s="35" t="n">
        <x:f>LEN(B289)</x:f>
        <x:v>5</x:v>
      </x:c>
      <x:c r="D289" s="35" t="n">
        <x:v>0</x:v>
      </x:c>
      <x:c r="E289" s="21" t="str">
        <x:v>umami, sour, weak sweet</x:v>
      </x:c>
      <x:c r="F289" s="21" t="str">
        <x:v>B1 - excluded as salty in the same sensory study</x:v>
      </x:c>
      <x:c r="G289" s="21" t="str">
        <x:v>synthetic peptide; trained human sensory panel; direct descriptive sensory evaluation; no salty descriptor; water solution adjusted to pH 6.5; umami-recognition threshold 0.255 mg/mL; relaxed negative criterion</x:v>
      </x:c>
      <x:c r="H289" s="22" t="str">
        <x:v>10.1016/j.jfutfo.2025.01.002</x:v>
      </x:c>
    </x:row>
    <x:row r="290" ht="32.400001525878906" hidden="0" customHeight="1">
      <x:c r="A290" s="34" t="n">
        <x:v>287</x:v>
      </x:c>
      <x:c r="B290" s="35" t="str">
        <x:v>RVEVNIL</x:v>
      </x:c>
      <x:c r="C290" s="35" t="n">
        <x:f>LEN(B290)</x:f>
        <x:v>7</x:v>
      </x:c>
      <x:c r="D290" s="35" t="n">
        <x:v>0</x:v>
      </x:c>
      <x:c r="E290" s="21" t="str">
        <x:v>umami, weak bitter</x:v>
      </x:c>
      <x:c r="F290" s="21" t="str">
        <x:v>B1 - excluded as salty in the same sensory study</x:v>
      </x:c>
      <x:c r="G290" s="21" t="str">
        <x:v>synthetic peptide; trained human sensory panel; direct descriptive sensory evaluation; no salty descriptor; 1 mg/mL; threshold 0.19 +/- 0.02 mmol/L; relaxed negative criterion</x:v>
      </x:c>
      <x:c r="H290" s="22" t="str">
        <x:v>10.1016/j.foodchem.2026.148261</x:v>
      </x:c>
    </x:row>
    <x:row r="291" ht="32.400001525878906" hidden="0" customHeight="1">
      <x:c r="A291" s="34" t="n">
        <x:v>288</x:v>
      </x:c>
      <x:c r="B291" s="35" t="str">
        <x:v>DDVIQTGVDNP</x:v>
      </x:c>
      <x:c r="C291" s="35" t="n">
        <x:f>LEN(B291)</x:f>
        <x:v>11</x:v>
      </x:c>
      <x:c r="D291" s="35" t="n">
        <x:v>0</x:v>
      </x:c>
      <x:c r="E291" s="21" t="str">
        <x:v>weak umami, weak sweet</x:v>
      </x:c>
      <x:c r="F291" s="21" t="str">
        <x:v>B1 - excluded as salty in the same sensory study</x:v>
      </x:c>
      <x:c r="G291" s="21" t="str">
        <x:v>synthetic peptide; trained human sensory panel; direct descriptive sensory evaluation; no salty descriptor; 1 mg/mL; threshold 0.30 +/- 0.03 mmol/L; relaxed negative criterion</x:v>
      </x:c>
      <x:c r="H291" s="22" t="str">
        <x:v>10.1016/j.foodchem.2026.148261</x:v>
      </x:c>
    </x:row>
    <x:row r="292" ht="32.400001525878906" hidden="0" customHeight="1">
      <x:c r="A292" s="34" t="n">
        <x:v>289</x:v>
      </x:c>
      <x:c r="B292" s="35" t="str">
        <x:v>HTEVNVPRSGETEEL</x:v>
      </x:c>
      <x:c r="C292" s="35" t="n">
        <x:f>LEN(B292)</x:f>
        <x:v>15</x:v>
      </x:c>
      <x:c r="D292" s="35" t="n">
        <x:v>0</x:v>
      </x:c>
      <x:c r="E292" s="21" t="str">
        <x:v>weak umami, sweet, weak bitter</x:v>
      </x:c>
      <x:c r="F292" s="21" t="str">
        <x:v>B1 - excluded as salty in the same sensory study</x:v>
      </x:c>
      <x:c r="G292" s="21" t="str">
        <x:v>synthetic peptide; trained human sensory panel; direct descriptive sensory evaluation; no salty descriptor; 1 mg/mL; threshold 0.18 +/- 0.03 mmol/L; relaxed negative criterion</x:v>
      </x:c>
      <x:c r="H292" s="22" t="str">
        <x:v>10.1016/j.foodchem.2026.148261</x:v>
      </x:c>
    </x:row>
    <x:row r="293" ht="32.400001525878906" hidden="0" customHeight="1">
      <x:c r="A293" s="34" t="n">
        <x:v>290</x:v>
      </x:c>
      <x:c r="B293" s="35" t="str">
        <x:v>NIEEKSGMEG</x:v>
      </x:c>
      <x:c r="C293" s="35" t="n">
        <x:f>LEN(B293)</x:f>
        <x:v>10</x:v>
      </x:c>
      <x:c r="D293" s="35" t="n">
        <x:v>0</x:v>
      </x:c>
      <x:c r="E293" s="21" t="str">
        <x:v>umami, sour</x:v>
      </x:c>
      <x:c r="F293" s="21" t="str">
        <x:v>B1 - excluded as salty in the same sensory study</x:v>
      </x:c>
      <x:c r="G293" s="21" t="str">
        <x:v>synthetic peptide; trained human sensory panel; direct descriptive sensory evaluation; no salty descriptor; 1 mg/mL; threshold 0.21 +/- 0.03 mmol/L; relaxed negative criterion</x:v>
      </x:c>
      <x:c r="H293" s="22" t="str">
        <x:v>10.1016/j.foodchem.2026.148261</x:v>
      </x:c>
    </x:row>
    <x:row r="294" ht="32.400001525878906" hidden="0" customHeight="1">
      <x:c r="A294" s="34" t="n">
        <x:v>291</x:v>
      </x:c>
      <x:c r="B294" s="35" t="str">
        <x:v>EKERIEAQNKPFDA</x:v>
      </x:c>
      <x:c r="C294" s="35" t="n">
        <x:f>LEN(B294)</x:f>
        <x:v>14</x:v>
      </x:c>
      <x:c r="D294" s="35" t="n">
        <x:v>0</x:v>
      </x:c>
      <x:c r="E294" s="21" t="str">
        <x:v>weak umami, weak sour, weak bitter</x:v>
      </x:c>
      <x:c r="F294" s="21" t="str">
        <x:v>B1 - excluded as salty in the same sensory study</x:v>
      </x:c>
      <x:c r="G294" s="21" t="str">
        <x:v>synthetic peptide; trained human sensory panel; direct descriptive sensory evaluation; no salty descriptor; 1 mg/mL; threshold 0.21 +/- 0.02 mmol/L; relaxed negative criterion</x:v>
      </x:c>
      <x:c r="H294" s="22" t="str">
        <x:v>10.1016/j.foodchem.2026.148261</x:v>
      </x:c>
    </x:row>
    <x:row r="295" ht="32.400001525878906" hidden="0" customHeight="1">
      <x:c r="A295" s="34" t="n">
        <x:v>292</x:v>
      </x:c>
      <x:c r="B295" s="35" t="str">
        <x:v>YFDR</x:v>
      </x:c>
      <x:c r="C295" s="35" t="n">
        <x:f>LEN(B295)</x:f>
        <x:v>4</x:v>
      </x:c>
      <x:c r="D295" s="35" t="n">
        <x:v>0</x:v>
      </x:c>
      <x:c r="E295" s="21" t="str">
        <x:v>umami, sourness</x:v>
      </x:c>
      <x:c r="F295" s="21" t="str">
        <x:v>B1 - excluded as salty in the same sensory study</x:v>
      </x:c>
      <x:c r="G295" s="21" t="str">
        <x:v>synthetic peptide; trained human sensory panel; direct descriptive sensory evaluation; no salty descriptor; 1 mg/mL; threshold 0.10 mmol/L; relaxed negative criterion</x:v>
      </x:c>
      <x:c r="H295" s="22" t="str">
        <x:v>10.1016/j.foodchem.2026.148141</x:v>
      </x:c>
    </x:row>
    <x:row r="296" ht="32.400001525878906" hidden="0" customHeight="1">
      <x:c r="A296" s="34" t="n">
        <x:v>293</x:v>
      </x:c>
      <x:c r="B296" s="35" t="str">
        <x:v>DDNFLDF</x:v>
      </x:c>
      <x:c r="C296" s="35" t="n">
        <x:f>LEN(B296)</x:f>
        <x:v>7</x:v>
      </x:c>
      <x:c r="D296" s="35" t="n">
        <x:v>0</x:v>
      </x:c>
      <x:c r="E296" s="21" t="str">
        <x:v>umami, sourness</x:v>
      </x:c>
      <x:c r="F296" s="21" t="str">
        <x:v>B1 - excluded as salty in the same sensory study</x:v>
      </x:c>
      <x:c r="G296" s="21" t="str">
        <x:v>synthetic peptide; trained human sensory panel; direct descriptive sensory evaluation; no salty descriptor; 1 mg/mL; threshold 0.07 mmol/L; relaxed negative criterion</x:v>
      </x:c>
      <x:c r="H296" s="22" t="str">
        <x:v>10.1016/j.foodchem.2026.148141</x:v>
      </x:c>
    </x:row>
    <x:row r="297" ht="32.400001525878906" hidden="0" customHeight="1">
      <x:c r="A297" s="34" t="n">
        <x:v>294</x:v>
      </x:c>
      <x:c r="B297" s="35" t="str">
        <x:v>SFEFR</x:v>
      </x:c>
      <x:c r="C297" s="35" t="n">
        <x:f>LEN(B297)</x:f>
        <x:v>5</x:v>
      </x:c>
      <x:c r="D297" s="35" t="n">
        <x:v>0</x:v>
      </x:c>
      <x:c r="E297" s="21" t="str">
        <x:v>sourness, bitterness; umami not perceived</x:v>
      </x:c>
      <x:c r="F297" s="21" t="str">
        <x:v>B1 - excluded as salty in the same sensory study</x:v>
      </x:c>
      <x:c r="G297" s="21" t="str">
        <x:v>synthetic peptide; trained human sensory panel; direct descriptive sensory evaluation; no salty descriptor; 1 mg/mL; threshold 0.09 mmol/L; relaxed negative criterion</x:v>
      </x:c>
      <x:c r="H297" s="22" t="str">
        <x:v>10.1016/j.foodchem.2026.148141</x:v>
      </x:c>
    </x:row>
    <x:row r="298" ht="32.400001525878906" hidden="0" customHeight="1">
      <x:c r="A298" s="34" t="n">
        <x:v>295</x:v>
      </x:c>
      <x:c r="B298" s="35" t="str">
        <x:v>MYR</x:v>
      </x:c>
      <x:c r="C298" s="35" t="n">
        <x:f>LEN(B298)</x:f>
        <x:v>3</x:v>
      </x:c>
      <x:c r="D298" s="35" t="n">
        <x:v>0</x:v>
      </x:c>
      <x:c r="E298" s="21" t="str">
        <x:v>umami, sourness</x:v>
      </x:c>
      <x:c r="F298" s="21" t="str">
        <x:v>B1 - excluded as salty in the same sensory study</x:v>
      </x:c>
      <x:c r="G298" s="21" t="str">
        <x:v>synthetic peptide; trained human sensory panel; direct descriptive sensory evaluation; no salty descriptor; 1 mg/mL; threshold 0.07 mmol/L; relaxed negative criterion</x:v>
      </x:c>
      <x:c r="H298" s="22" t="str">
        <x:v>10.1016/j.foodchem.2026.148141</x:v>
      </x:c>
    </x:row>
    <x:row r="299" ht="32.400001525878906" hidden="0" customHeight="1">
      <x:c r="A299" s="34" t="n">
        <x:v>296</x:v>
      </x:c>
      <x:c r="B299" s="35" t="str">
        <x:v>SDFF</x:v>
      </x:c>
      <x:c r="C299" s="35" t="n">
        <x:f>LEN(B299)</x:f>
        <x:v>4</x:v>
      </x:c>
      <x:c r="D299" s="35" t="n">
        <x:v>0</x:v>
      </x:c>
      <x:c r="E299" s="21" t="str">
        <x:v>sweetness, astringent</x:v>
      </x:c>
      <x:c r="F299" s="21" t="str">
        <x:v>B1 - excluded as salty in the same sensory study</x:v>
      </x:c>
      <x:c r="G299" s="21" t="str">
        <x:v>synthetic peptide; trained human sensory panel; direct descriptive sensory evaluation; no salty descriptor; 1 mg/mL; threshold 0.24 mmol/L; relaxed negative criterion</x:v>
      </x:c>
      <x:c r="H299" s="22" t="str">
        <x:v>10.1016/j.foodchem.2026.148141</x:v>
      </x:c>
    </x:row>
    <x:row r="300" ht="32.400001525878906" hidden="0" customHeight="1">
      <x:c r="A300" s="34" t="n">
        <x:v>297</x:v>
      </x:c>
      <x:c r="B300" s="35" t="str">
        <x:v>GPRAAP</x:v>
      </x:c>
      <x:c r="C300" s="35" t="n">
        <x:f>LEN(B300)</x:f>
        <x:v>6</x:v>
      </x:c>
      <x:c r="D300" s="35" t="n">
        <x:v>0</x:v>
      </x:c>
      <x:c r="E300" s="21" t="str">
        <x:v>umami, sourness, sweetness</x:v>
      </x:c>
      <x:c r="F300" s="21" t="str">
        <x:v>B1 - excluded as salty in the same sensory study</x:v>
      </x:c>
      <x:c r="G300" s="21" t="str">
        <x:v>synthetic peptide; trained human sensory panel; direct descriptive sensory evaluation; no salty descriptor; 1 mg/mL; threshold 0.11 mmol/L; relaxed negative criterion</x:v>
      </x:c>
      <x:c r="H300" s="22" t="str">
        <x:v>10.1016/j.foodchem.2026.148141</x:v>
      </x:c>
    </x:row>
    <x:row r="301" ht="32.400001525878906" hidden="0" customHeight="1">
      <x:c r="A301" s="34" t="n">
        <x:v>298</x:v>
      </x:c>
      <x:c r="B301" s="35" t="str">
        <x:v>GGVDPSGPHL</x:v>
      </x:c>
      <x:c r="C301" s="35" t="n">
        <x:f>LEN(B301)</x:f>
        <x:v>10</x:v>
      </x:c>
      <x:c r="D301" s="35" t="n">
        <x:v>0</x:v>
      </x:c>
      <x:c r="E301" s="21" t="str">
        <x:v>umami, sourness, sweetness</x:v>
      </x:c>
      <x:c r="F301" s="21" t="str">
        <x:v>B1 - excluded as salty in the same sensory study</x:v>
      </x:c>
      <x:c r="G301" s="21" t="str">
        <x:v>synthetic peptide; trained human sensory panel; direct descriptive sensory evaluation; no salty descriptor; 1 mg/mL; threshold 0.13 mmol/L; relaxed negative criterion</x:v>
      </x:c>
      <x:c r="H301" s="22" t="str">
        <x:v>10.1016/j.foodchem.2026.148141</x:v>
      </x:c>
    </x:row>
    <x:row r="302" ht="32.400001525878906" hidden="0" customHeight="1">
      <x:c r="A302" s="34" t="n">
        <x:v>299</x:v>
      </x:c>
      <x:c r="B302" s="35" t="str">
        <x:v>GDPGW</x:v>
      </x:c>
      <x:c r="C302" s="35" t="n">
        <x:f>LEN(B302)</x:f>
        <x:v>5</x:v>
      </x:c>
      <x:c r="D302" s="35" t="n">
        <x:v>0</x:v>
      </x:c>
      <x:c r="E302" s="21" t="str">
        <x:v>umami, sweetness</x:v>
      </x:c>
      <x:c r="F302" s="21" t="str">
        <x:v>B1 - excluded as salty in the same sensory study</x:v>
      </x:c>
      <x:c r="G302" s="21" t="str">
        <x:v>synthetic peptide; trained human sensory panel; direct descriptive sensory evaluation; no salty descriptor; 1 mg/mL; threshold 0.24 mmol/L; relaxed negative criterion</x:v>
      </x:c>
      <x:c r="H302" s="22" t="str">
        <x:v>10.1016/j.foodchem.2026.148141</x:v>
      </x:c>
    </x:row>
    <x:row r="303" ht="32.400001525878906" hidden="0" customHeight="1">
      <x:c r="A303" s="36" t="n">
        <x:v>300</x:v>
      </x:c>
      <x:c r="B303" s="37" t="str">
        <x:v>VDGPGMKF</x:v>
      </x:c>
      <x:c r="C303" s="37" t="n">
        <x:f>LEN(B303)</x:f>
        <x:v>8</x:v>
      </x:c>
      <x:c r="D303" s="37" t="n">
        <x:v>0</x:v>
      </x:c>
      <x:c r="E303" s="25" t="str">
        <x:v>umami, sweetness</x:v>
      </x:c>
      <x:c r="F303" s="25" t="str">
        <x:v>B1 - excluded as salty in the same sensory study</x:v>
      </x:c>
      <x:c r="G303" s="25" t="str">
        <x:v>synthetic peptide; trained human sensory panel; direct descriptive sensory evaluation; no salty descriptor; 1 mg/mL; threshold 0.15 mmol/L; relaxed negative criterion</x:v>
      </x:c>
      <x:c r="H303" s="26" t="str">
        <x:v>10.1016/j.foodchem.2026.148141</x:v>
      </x:c>
    </x:row>
    <x:row r="305" ht="42" hidden="0" customHeight="1">
      <x:c r="A305" s="81" t="str">
        <x:v>Negative endpoint</x:v>
      </x:c>
      <x:c r="B305" s="80" t="str">
        <x:v>Class label 0 denotes peptides reported as non-salty or not classified as salty under the cited evidence; evidence strength varies by grade.</x:v>
      </x:c>
      <x:c r="C305" s="80"/>
      <x:c r="D305" s="80"/>
      <x:c r="E305" s="80"/>
      <x:c r="F305" s="80"/>
      <x:c r="G305" s="80"/>
      <x:c r="H305" s="80"/>
    </x:row>
    <x:row r="306" ht="42" hidden="0" customHeight="1">
      <x:c r="A306" s="82" t="str">
        <x:v>Evidence caveat</x:v>
      </x:c>
      <x:c r="B306" s="80" t="str">
        <x:v>Direct sensory exclusions provide stronger support than database-derived or relaxed negative labels. Evidence grades should be retained in sensitivity analyses and future updates.</x:v>
      </x:c>
      <x:c r="C306" s="80"/>
      <x:c r="D306" s="80"/>
      <x:c r="E306" s="80"/>
      <x:c r="F306" s="80"/>
      <x:c r="G306" s="80"/>
      <x:c r="H306" s="80"/>
    </x:row>
    <x:row r="307" ht="42" hidden="0" customHeight="1">
      <x:c r="A307" s="82" t="str">
        <x:v>Curation decisions</x:v>
      </x:c>
      <x:c r="B307" s="80" t="str">
        <x:v>RV was excluded from both classes because direct and secondary labels conflicted. DGFE was merged into one negative record with both concordant sources retained. No external validation claim is made.</x:v>
      </x:c>
      <x:c r="C307" s="80"/>
      <x:c r="D307" s="80"/>
      <x:c r="E307" s="80"/>
      <x:c r="F307" s="80"/>
      <x:c r="G307" s="80"/>
      <x:c r="H307" s="80"/>
    </x:row>
  </x:sheetData>
  <x:mergeCells>
    <x:mergeCell ref="A1:H1"/>
    <x:mergeCell ref="A2:H2"/>
    <x:mergeCell ref="B305:H305"/>
    <x:mergeCell ref="B306:H306"/>
    <x:mergeCell ref="B307:H307"/>
  </x:mergeCells>
  <x:pageMargins left="0.7" right="0.7" top="0.75" bottom="0.75" header="0.3" footer="0.3"/>
  <x:tableParts count="1">
    <x:tablePart xmlns:r="http://schemas.openxmlformats.org/officeDocument/2006/relationships" r:id="Rd179fd10439141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2" hidden="0" customWidth="1"/>
    <x:col min="3" max="3" width="3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74" hidden="0" customWidth="1"/>
    <x:col min="9" max="9" width="2" hidden="0" customWidth="1"/>
  </x:cols>
  <x:sheetData>
    <x:row r="1" ht="16.799999237060547" hidden="0" customHeight="1">
      <x:c r="A1" s="58" t="str">
        <x:v>Curation audit</x:v>
      </x:c>
      <x:c r="B1" s="58"/>
      <x:c r="C1" s="58"/>
      <x:c r="D1" s="58"/>
      <x:c r="E1" s="58"/>
      <x:c r="F1" s="58"/>
      <x:c r="G1" s="58"/>
      <x:c r="H1" s="58"/>
    </x:row>
    <x:row r="2" ht="15" hidden="0" customHeight="1">
      <x:c r="A2" s="46" t="str">
        <x:v>Source-level accounting of candidate labels, exact-sequence deduplication, and conflict exclusions used for this release.</x:v>
      </x:c>
      <x:c r="B2" s="41"/>
      <x:c r="C2" s="41"/>
      <x:c r="D2" s="41"/>
      <x:c r="E2" s="41"/>
      <x:c r="F2" s="41"/>
      <x:c r="G2" s="41"/>
      <x:c r="H2" s="41"/>
    </x:row>
    <x:row r="3" ht="15" hidden="0" customHeight="1">
      <x:c r="A3" s="86" t="str">
        <x:v>Order</x:v>
      </x:c>
      <x:c r="B3" s="87" t="str">
        <x:v>Study</x:v>
      </x:c>
      <x:c r="C3" s="87" t="str">
        <x:v>DOI</x:v>
      </x:c>
      <x:c r="D3" s="87" t="str">
        <x:v>Raw positive</x:v>
      </x:c>
      <x:c r="E3" s="87" t="str">
        <x:v>Raw negative</x:v>
      </x:c>
      <x:c r="F3" s="87" t="str">
        <x:v>Included positive</x:v>
      </x:c>
      <x:c r="G3" s="87" t="str">
        <x:v>Included negative</x:v>
      </x:c>
      <x:c r="H3" s="87" t="str">
        <x:v>Decision / audit note</x:v>
      </x:c>
      <x:c r="I3" s="49"/>
    </x:row>
    <x:row r="4" ht="64" hidden="0" customHeight="1">
      <x:c r="A4" s="19" t="n">
        <x:v>1</x:v>
      </x:c>
      <x:c r="B4" s="21" t="str">
        <x:v>Decoding bitter peptides in soy sauce</x:v>
      </x:c>
      <x:c r="C4" s="21" t="str">
        <x:v>10.1016/j.foodchem.2025.146470</x:v>
      </x:c>
      <x:c r="D4" s="21" t="n">
        <x:v>0</x:v>
      </x:c>
      <x:c r="E4" s="20" t="n">
        <x:v>17</x:v>
      </x:c>
      <x:c r="F4" s="20" t="n">
        <x:v>0</x:v>
      </x:c>
      <x:c r="G4" s="20" t="n">
        <x:v>17</x:v>
      </x:c>
      <x:c r="H4" s="20" t="str">
        <x:v>All 17 synthetic peptides were directly sensory-tested without a salty classification.</x:v>
      </x:c>
      <x:c r="I4" s="22"/>
    </x:row>
    <x:row r="5" ht="64" hidden="0" customHeight="1">
      <x:c r="A5" s="19" t="n">
        <x:v>2</x:v>
      </x:c>
      <x:c r="B5" s="21" t="str">
        <x:v>Identification and sensory characterization of umami peptides from soy sauce</x:v>
      </x:c>
      <x:c r="C5" s="21" t="str">
        <x:v>10.1016/j.ijgfs.2026.101477</x:v>
      </x:c>
      <x:c r="D5" s="21" t="n">
        <x:v>2</x:v>
      </x:c>
      <x:c r="E5" s="20" t="n">
        <x:v>8</x:v>
      </x:c>
      <x:c r="F5" s="20" t="n">
        <x:v>2</x:v>
      </x:c>
      <x:c r="G5" s="20" t="n">
        <x:v>7</x:v>
      </x:c>
      <x:c r="H5" s="20" t="str">
        <x:v>RV was not added as negative and was removed from the prior positive table because direct non-salty sensory evidence conflicts with a prior secondary salty annotation.</x:v>
      </x:c>
      <x:c r="I5" s="22"/>
    </x:row>
    <x:row r="6" ht="64" hidden="0" customHeight="1">
      <x:c r="A6" s="19" t="n">
        <x:v>3</x:v>
      </x:c>
      <x:c r="B6" s="21" t="str">
        <x:v>Novel umami peptides from Pleurotus ostreatus</x:v>
      </x:c>
      <x:c r="C6" s="21" t="str">
        <x:v>10.1016/j.foodchem.2025.145575</x:v>
      </x:c>
      <x:c r="D6" s="21" t="n">
        <x:v>0</x:v>
      </x:c>
      <x:c r="E6" s="20" t="n">
        <x:v>6</x:v>
      </x:c>
      <x:c r="F6" s="20" t="n">
        <x:v>0</x:v>
      </x:c>
      <x:c r="G6" s="20" t="n">
        <x:v>6</x:v>
      </x:c>
      <x:c r="H6" s="20" t="str">
        <x:v>Six synthetic umami peptides had no salty descriptor.</x:v>
      </x:c>
      <x:c r="I6" s="22"/>
    </x:row>
    <x:row r="7" ht="64" hidden="0" customHeight="1">
      <x:c r="A7" s="19" t="n">
        <x:v>4</x:v>
      </x:c>
      <x:c r="B7" s="21" t="str">
        <x:v>Umami-enhancing peptides from Acetes chinensis</x:v>
      </x:c>
      <x:c r="C7" s="21" t="str">
        <x:v>10.1016/j.foodchem.2025.146538</x:v>
      </x:c>
      <x:c r="D7" s="21" t="n">
        <x:v>5</x:v>
      </x:c>
      <x:c r="E7" s="20" t="n">
        <x:v>6</x:v>
      </x:c>
      <x:c r="F7" s="20" t="n">
        <x:v>5</x:v>
      </x:c>
      <x:c r="G7" s="20" t="n">
        <x:v>6</x:v>
      </x:c>
      <x:c r="H7" s="20" t="str">
        <x:v>Table-level taste descriptors separated five intrinsically salty peptides from six non-salty peptides.</x:v>
      </x:c>
      <x:c r="I7" s="22"/>
    </x:row>
    <x:row r="8" ht="64" hidden="0" customHeight="1">
      <x:c r="A8" s="19" t="n">
        <x:v>5</x:v>
      </x:c>
      <x:c r="B8" s="21" t="str">
        <x:v>Novel umami peptides in fermented milk</x:v>
      </x:c>
      <x:c r="C8" s="21" t="str">
        <x:v>10.1016/j.foodchem.2026.147994</x:v>
      </x:c>
      <x:c r="D8" s="21" t="n">
        <x:v>2</x:v>
      </x:c>
      <x:c r="E8" s="20" t="n">
        <x:v>8</x:v>
      </x:c>
      <x:c r="F8" s="20" t="n">
        <x:v>2</x:v>
      </x:c>
      <x:c r="G8" s="20" t="n">
        <x:v>8</x:v>
      </x:c>
      <x:c r="H8" s="20" t="str">
        <x:v>VMGVSKVKE and FSDKIA were intrinsically salty; eight others were non-salty in the same sensory table.</x:v>
      </x:c>
      <x:c r="I8" s="22"/>
    </x:row>
    <x:row r="9" ht="64" hidden="0" customHeight="1">
      <x:c r="A9" s="19" t="n">
        <x:v>6</x:v>
      </x:c>
      <x:c r="B9" s="21" t="str">
        <x:v>Umami-enhancing peptides in Russula vinosa</x:v>
      </x:c>
      <x:c r="C9" s="21" t="str">
        <x:v>10.1016/j.fochx.2025.102964</x:v>
      </x:c>
      <x:c r="D9" s="21" t="n">
        <x:v>0</x:v>
      </x:c>
      <x:c r="E9" s="20" t="n">
        <x:v>6</x:v>
      </x:c>
      <x:c r="F9" s="20" t="n">
        <x:v>0</x:v>
      </x:c>
      <x:c r="G9" s="20" t="n">
        <x:v>6</x:v>
      </x:c>
      <x:c r="H9" s="20" t="str">
        <x:v>The authors explicitly reported that neither saltiness nor bitterness was detected.</x:v>
      </x:c>
      <x:c r="I9" s="22"/>
    </x:row>
    <x:row r="10" ht="64" hidden="0" customHeight="1">
      <x:c r="A10" s="19" t="n">
        <x:v>7</x:v>
      </x:c>
      <x:c r="B10" s="21" t="str">
        <x:v>Umami-enhancing peptides from Hericium erinaceus</x:v>
      </x:c>
      <x:c r="C10" s="21" t="str">
        <x:v>10.1016/j.fochx.2025.103105</x:v>
      </x:c>
      <x:c r="D10" s="21" t="n">
        <x:v>0</x:v>
      </x:c>
      <x:c r="E10" s="20" t="n">
        <x:v>8</x:v>
      </x:c>
      <x:c r="F10" s="20" t="n">
        <x:v>0</x:v>
      </x:c>
      <x:c r="G10" s="20" t="n">
        <x:v>8</x:v>
      </x:c>
      <x:c r="H10" s="20" t="str">
        <x:v>The authors explicitly reported no saltiness; DGFE was later merged with a second matching report.</x:v>
      </x:c>
      <x:c r="I10" s="22"/>
    </x:row>
    <x:row r="11" ht="80" hidden="0" customHeight="1">
      <x:c r="A11" s="19" t="n">
        <x:v>8</x:v>
      </x:c>
      <x:c r="B11" s="21" t="str">
        <x:v>Umami-enhancing peptides in rice bran protein</x:v>
      </x:c>
      <x:c r="C11" s="21" t="str">
        <x:v>10.1016/j.fochx.2026.103779</x:v>
      </x:c>
      <x:c r="D11" s="21" t="n">
        <x:v>0</x:v>
      </x:c>
      <x:c r="E11" s="20" t="n">
        <x:v>10</x:v>
      </x:c>
      <x:c r="F11" s="20" t="n">
        <x:v>0</x:v>
      </x:c>
      <x:c r="G11" s="20" t="n">
        <x:v>10</x:v>
      </x:c>
      <x:c r="H11" s="20" t="str">
        <x:v>Supplementary Table S2 provided the sequence-specific sensory descriptors and thresholds; no peptide was labeled salty.</x:v>
      </x:c>
      <x:c r="I11" s="22"/>
    </x:row>
    <x:row r="12" ht="64" hidden="0" customHeight="1">
      <x:c r="A12" s="19" t="n">
        <x:v>9</x:v>
      </x:c>
      <x:c r="B12" s="21" t="str">
        <x:v>Novel umami peptides from Takifugu rubripes muscle</x:v>
      </x:c>
      <x:c r="C12" s="21" t="str">
        <x:v>10.1016/j.jfutfo.2025.01.002</x:v>
      </x:c>
      <x:c r="D12" s="21" t="n">
        <x:v>1</x:v>
      </x:c>
      <x:c r="E12" s="20" t="n">
        <x:v>4</x:v>
      </x:c>
      <x:c r="F12" s="20" t="n">
        <x:v>1</x:v>
      </x:c>
      <x:c r="G12" s="20" t="n">
        <x:v>4</x:v>
      </x:c>
      <x:c r="H12" s="20" t="str">
        <x:v>FAGDDAPR was intrinsically salty; four other synthetic peptides were non-salty.</x:v>
      </x:c>
      <x:c r="I12" s="22"/>
    </x:row>
    <x:row r="13" ht="64" hidden="0" customHeight="1">
      <x:c r="A13" s="19" t="n">
        <x:v>10</x:v>
      </x:c>
      <x:c r="B13" s="21" t="str">
        <x:v>Novel umami peptides from Cherry Valley duck meat extract</x:v>
      </x:c>
      <x:c r="C13" s="21" t="str">
        <x:v>10.1016/j.foodchem.2026.148261</x:v>
      </x:c>
      <x:c r="D13" s="21" t="n">
        <x:v>1</x:v>
      </x:c>
      <x:c r="E13" s="20" t="n">
        <x:v>5</x:v>
      </x:c>
      <x:c r="F13" s="20" t="n">
        <x:v>1</x:v>
      </x:c>
      <x:c r="G13" s="20" t="n">
        <x:v>5</x:v>
      </x:c>
      <x:c r="H13" s="20" t="str">
        <x:v>TLGEKMTEEEVDE was intrinsically salty; five other synthetic peptides were non-salty.</x:v>
      </x:c>
      <x:c r="I13" s="22"/>
    </x:row>
    <x:row r="14" ht="64" hidden="0" customHeight="1">
      <x:c r="A14" s="19" t="n">
        <x:v>11</x:v>
      </x:c>
      <x:c r="B14" s="21" t="str">
        <x:v>Umami-enhancing peptides in walnut meal protein</x:v>
      </x:c>
      <x:c r="C14" s="21" t="str">
        <x:v>10.1016/j.foodchem.2026.148141</x:v>
      </x:c>
      <x:c r="D14" s="21" t="n">
        <x:v>1</x:v>
      </x:c>
      <x:c r="E14" s="20" t="n">
        <x:v>10</x:v>
      </x:c>
      <x:c r="F14" s="20" t="n">
        <x:v>1</x:v>
      </x:c>
      <x:c r="G14" s="20" t="n">
        <x:v>9</x:v>
      </x:c>
      <x:c r="H14" s="20" t="str">
        <x:v>DSFF was intrinsically salty; DGFE duplicated the Hericium report and was merged into one negative row with two references.</x:v>
      </x:c>
      <x:c r="I14" s="22"/>
    </x:row>
    <x:row r="15" ht="64" hidden="0" customHeight="1">
      <x:c r="A15" s="23" t="n">
        <x:v>12</x:v>
      </x:c>
      <x:c r="B15" s="25" t="str">
        <x:v>RV label conflict</x:v>
      </x:c>
      <x:c r="C15" s="25" t="str">
        <x:v>Prior secondary sources vs 10.1016/j.ijgfs.2026.101477</x:v>
      </x:c>
      <x:c r="D15" s="25" t="n">
        <x:v>0</x:v>
      </x:c>
      <x:c r="E15" s="24" t="n">
        <x:v>0</x:v>
      </x:c>
      <x:c r="F15" s="24" t="n">
        <x:v>0</x:v>
      </x:c>
      <x:c r="G15" s="24" t="n">
        <x:v>0</x:v>
      </x:c>
      <x:c r="H15" s="24" t="str">
        <x:v>RV was excluded from both classes in the current release pending independent replication or reconciliation of assay conditions.</x:v>
      </x:c>
      <x:c r="I15" s="26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045901d8eeb44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18" hidden="0" customWidth="1"/>
    <x:col min="4" max="4" width="80" hidden="0" customWidth="1"/>
  </x:cols>
  <x:sheetData>
    <x:row r="1" ht="16.799999237060547" hidden="0" customHeight="1">
      <x:c r="A1" s="58" t="str">
        <x:v>Data dictionary</x:v>
      </x:c>
      <x:c r="B1" s="58"/>
      <x:c r="C1" s="58"/>
      <x:c r="D1" s="58"/>
    </x:row>
    <x:row r="2">
      <x:c r="A2" s="41"/>
      <x:c r="B2" s="41"/>
      <x:c r="C2" s="41"/>
      <x:c r="D2" s="41"/>
    </x:row>
    <x:row r="3" ht="15" hidden="0" customHeight="1">
      <x:c r="A3" s="94" t="str">
        <x:v>Table</x:v>
      </x:c>
      <x:c r="B3" s="94" t="str">
        <x:v>Field</x:v>
      </x:c>
      <x:c r="C3" s="94" t="str">
        <x:v>Data type</x:v>
      </x:c>
      <x:c r="D3" s="94" t="str">
        <x:v>Definition</x:v>
      </x:c>
    </x:row>
    <x:row r="4" ht="28" hidden="0" customHeight="1">
      <x:c r="A4" s="43" t="str">
        <x:v>Table S1</x:v>
      </x:c>
      <x:c r="B4" s="43" t="str">
        <x:v>No.</x:v>
      </x:c>
      <x:c r="C4" s="43" t="str">
        <x:v>Integer</x:v>
      </x:c>
      <x:c r="D4" s="43" t="str">
        <x:v>Row identifier in the supplementary table.</x:v>
      </x:c>
    </x:row>
    <x:row r="5" ht="28" hidden="0" customHeight="1">
      <x:c r="A5" s="43" t="str">
        <x:v>Table S1</x:v>
      </x:c>
      <x:c r="B5" s="43" t="str">
        <x:v>Peptide sequence</x:v>
      </x:c>
      <x:c r="C5" s="43" t="str">
        <x:v>Text</x:v>
      </x:c>
      <x:c r="D5" s="43" t="str">
        <x:v>Uppercase one-letter sequence using the 20 standard proteinogenic amino acids.</x:v>
      </x:c>
    </x:row>
    <x:row r="6" ht="28" hidden="0" customHeight="1">
      <x:c r="A6" s="43" t="str">
        <x:v>Table S1</x:v>
      </x:c>
      <x:c r="B6" s="43" t="str">
        <x:v>Length (aa)</x:v>
      </x:c>
      <x:c r="C6" s="43" t="str">
        <x:v>Integer</x:v>
      </x:c>
      <x:c r="D6" s="43" t="str">
        <x:v>Number of amino-acid residues; calculated with LEN(sequence).</x:v>
      </x:c>
    </x:row>
    <x:row r="7" ht="28" hidden="0" customHeight="1">
      <x:c r="A7" s="43" t="str">
        <x:v>Table S1</x:v>
      </x:c>
      <x:c r="B7" s="43" t="str">
        <x:v>Class label</x:v>
      </x:c>
      <x:c r="C7" s="43" t="str">
        <x:v>Integer</x:v>
      </x:c>
      <x:c r="D7" s="43" t="str">
        <x:v>1 = positive salty or saltiness-enhancing peptide sample under the retained source evidence.</x:v>
      </x:c>
    </x:row>
    <x:row r="8" ht="28" hidden="0" customHeight="1">
      <x:c r="A8" s="43" t="str">
        <x:v>Table S1</x:v>
      </x:c>
      <x:c r="B8" s="43" t="str">
        <x:v>Evidence / validation</x:v>
      </x:c>
      <x:c r="C8" s="43" t="str">
        <x:v>Text</x:v>
      </x:c>
      <x:c r="D8" s="43" t="str">
        <x:v>Evidence category and compact validation-method summary.</x:v>
      </x:c>
    </x:row>
    <x:row r="9" ht="28" hidden="0" customHeight="1">
      <x:c r="A9" s="43" t="str">
        <x:v>Table S1</x:v>
      </x:c>
      <x:c r="B9" s="43" t="str">
        <x:v>Taste attributes / assay condition</x:v>
      </x:c>
      <x:c r="C9" s="43" t="str">
        <x:v>Text</x:v>
      </x:c>
      <x:c r="D9" s="43" t="str">
        <x:v>Reported taste attributes and threshold, concentration, or response when available.</x:v>
      </x:c>
    </x:row>
    <x:row r="10" ht="28" hidden="0" customHeight="1">
      <x:c r="A10" s="43" t="str">
        <x:v>Table S1</x:v>
      </x:c>
      <x:c r="B10" s="43" t="str">
        <x:v>Source material / protein</x:v>
      </x:c>
      <x:c r="C10" s="43" t="str">
        <x:v>Text</x:v>
      </x:c>
      <x:c r="D10" s="43" t="str">
        <x:v>Biological source, hydrolysate, or parent protein when reported.</x:v>
      </x:c>
    </x:row>
    <x:row r="11" ht="28" hidden="0" customHeight="1">
      <x:c r="A11" s="43" t="str">
        <x:v>Table S1</x:v>
      </x:c>
      <x:c r="B11" s="43" t="str">
        <x:v>Source / reference</x:v>
      </x:c>
      <x:c r="C11" s="43" t="str">
        <x:v>Text</x:v>
      </x:c>
      <x:c r="D11" s="43" t="str">
        <x:v>Database provenance and/or DOI/reference identifier.</x:v>
      </x:c>
    </x:row>
    <x:row r="12" ht="28" hidden="0" customHeight="1">
      <x:c r="A12" s="43" t="str">
        <x:v>Table S2</x:v>
      </x:c>
      <x:c r="B12" s="43" t="str">
        <x:v>No.</x:v>
      </x:c>
      <x:c r="C12" s="43" t="str">
        <x:v>Integer</x:v>
      </x:c>
      <x:c r="D12" s="43" t="str">
        <x:v>Row identifier in the supplementary table.</x:v>
      </x:c>
    </x:row>
    <x:row r="13" ht="28" hidden="0" customHeight="1">
      <x:c r="A13" s="43" t="str">
        <x:v>Table S2</x:v>
      </x:c>
      <x:c r="B13" s="43" t="str">
        <x:v>Peptide sequence</x:v>
      </x:c>
      <x:c r="C13" s="43" t="str">
        <x:v>Text</x:v>
      </x:c>
      <x:c r="D13" s="43" t="str">
        <x:v>Uppercase one-letter sequence using the 20 standard proteinogenic amino acids.</x:v>
      </x:c>
    </x:row>
    <x:row r="14" ht="28" hidden="0" customHeight="1">
      <x:c r="A14" s="43" t="str">
        <x:v>Table S2</x:v>
      </x:c>
      <x:c r="B14" s="43" t="str">
        <x:v>Length (aa)</x:v>
      </x:c>
      <x:c r="C14" s="43" t="str">
        <x:v>Integer</x:v>
      </x:c>
      <x:c r="D14" s="43" t="str">
        <x:v>Number of amino-acid residues; calculated with LEN(sequence).</x:v>
      </x:c>
    </x:row>
    <x:row r="15" ht="28" hidden="0" customHeight="1">
      <x:c r="A15" s="43" t="str">
        <x:v>Table S2</x:v>
      </x:c>
      <x:c r="B15" s="43" t="str">
        <x:v>Class label</x:v>
      </x:c>
      <x:c r="C15" s="43" t="str">
        <x:v>Integer</x:v>
      </x:c>
      <x:c r="D15" s="43" t="str">
        <x:v>0 = negative non-salty sample for model development.</x:v>
      </x:c>
    </x:row>
    <x:row r="16" ht="28" hidden="0" customHeight="1">
      <x:c r="A16" s="43" t="str">
        <x:v>Table S2</x:v>
      </x:c>
      <x:c r="B16" s="43" t="str">
        <x:v>Assigned non-salty taste</x:v>
      </x:c>
      <x:c r="C16" s="43" t="str">
        <x:v>Text</x:v>
      </x:c>
      <x:c r="D16" s="43" t="str">
        <x:v>Reported sensory profile without a salty classification under the cited source evidence.</x:v>
      </x:c>
    </x:row>
    <x:row r="17" ht="28" hidden="0" customHeight="1">
      <x:c r="A17" s="43" t="str">
        <x:v>Table S2</x:v>
      </x:c>
      <x:c r="B17" s="43" t="str">
        <x:v>Evidence grade</x:v>
      </x:c>
      <x:c r="C17" s="43" t="str">
        <x:v>Categorical</x:v>
      </x:c>
      <x:c r="D17" s="43" t="str">
        <x:v>A1/A2/B1/D evidence hierarchy defined in the Table S2 footnote.</x:v>
      </x:c>
    </x:row>
    <x:row r="18" ht="28" hidden="0" customHeight="1">
      <x:c r="A18" s="43" t="str">
        <x:v>Table S2</x:v>
      </x:c>
      <x:c r="B18" s="43" t="str">
        <x:v>Validation / test condition</x:v>
      </x:c>
      <x:c r="C18" s="43" t="str">
        <x:v>Text</x:v>
      </x:c>
      <x:c r="D18" s="43" t="str">
        <x:v>Sensory/electronic-tongue/database method and assay context.</x:v>
      </x:c>
    </x:row>
    <x:row r="19" ht="28" hidden="0" customHeight="1">
      <x:c r="A19" s="43" t="str">
        <x:v>Table S2</x:v>
      </x:c>
      <x:c r="B19" s="43" t="str">
        <x:v>Source / reference</x:v>
      </x:c>
      <x:c r="C19" s="43" t="str">
        <x:v>Text</x:v>
      </x:c>
      <x:c r="D19" s="43" t="str">
        <x:v>DOI, study title, database, or compilation source.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445c53e7751047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55" hidden="0" customWidth="1"/>
  </x:cols>
  <x:sheetData>
    <x:row r="1" ht="16.799999237060547" hidden="0" customHeight="1">
      <x:c r="A1" s="58" t="str">
        <x:v>Quality-control summary</x:v>
      </x:c>
      <x:c r="B1" s="58"/>
      <x:c r="C1" s="58"/>
    </x:row>
    <x:row r="2">
      <x:c r="A2" s="41"/>
      <x:c r="B2" s="41"/>
      <x:c r="C2" s="41"/>
    </x:row>
    <x:row r="3" ht="15" hidden="0" customHeight="1">
      <x:c r="A3" s="94" t="str">
        <x:v>QC item</x:v>
      </x:c>
      <x:c r="B3" s="94" t="str">
        <x:v>Result</x:v>
      </x:c>
      <x:c r="C3" s="94" t="str">
        <x:v>Interpretation</x:v>
      </x:c>
    </x:row>
    <x:row r="4" ht="28" hidden="0" customHeight="1">
      <x:c r="A4" s="43" t="str">
        <x:v>Table S1 unique sequences</x:v>
      </x:c>
      <x:c r="B4" s="50" t="n">
        <x:v>280</x:v>
      </x:c>
      <x:c r="C4" s="43" t="str">
        <x:v>Pass</x:v>
      </x:c>
    </x:row>
    <x:row r="5" ht="28" hidden="0" customHeight="1">
      <x:c r="A5" s="43" t="str">
        <x:v>Table S2 unique sequences</x:v>
      </x:c>
      <x:c r="B5" s="50" t="n">
        <x:v>300</x:v>
      </x:c>
      <x:c r="C5" s="43" t="str">
        <x:v>Pass</x:v>
      </x:c>
    </x:row>
    <x:row r="6" ht="28" hidden="0" customHeight="1">
      <x:c r="A6" s="43" t="str">
        <x:v>S1 non-standard sequences</x:v>
      </x:c>
      <x:c r="B6" s="50" t="n">
        <x:v>0</x:v>
      </x:c>
      <x:c r="C6" s="43" t="str">
        <x:v>Pass</x:v>
      </x:c>
    </x:row>
    <x:row r="7" ht="28" hidden="0" customHeight="1">
      <x:c r="A7" s="43" t="str">
        <x:v>S2 non-standard sequences</x:v>
      </x:c>
      <x:c r="B7" s="50" t="n">
        <x:v>0</x:v>
      </x:c>
      <x:c r="C7" s="43" t="str">
        <x:v>Pass</x:v>
      </x:c>
    </x:row>
    <x:row r="8" ht="28" hidden="0" customHeight="1">
      <x:c r="A8" s="43" t="str">
        <x:v>Exact S1-S2 overlaps</x:v>
      </x:c>
      <x:c r="B8" s="50" t="n">
        <x:v>0</x:v>
      </x:c>
      <x:c r="C8" s="43" t="str">
        <x:v>Pass</x:v>
      </x:c>
    </x:row>
    <x:row r="9" ht="38" hidden="0" customHeight="1">
      <x:c r="A9" s="43" t="str">
        <x:v>Direct-evidence positive records added during final curation</x:v>
      </x:c>
      <x:c r="B9" s="50" t="n">
        <x:v>12</x:v>
      </x:c>
      <x:c r="C9" s="43" t="str">
        <x:v>Direct sensory evidence</x:v>
      </x:c>
    </x:row>
    <x:row r="10" ht="38" hidden="0" customHeight="1">
      <x:c r="A10" s="43" t="str">
        <x:v>Direct-evidence negative records added during final curation</x:v>
      </x:c>
      <x:c r="B10" s="50" t="n">
        <x:v>86</x:v>
      </x:c>
      <x:c r="C10" s="43" t="str">
        <x:v>Sequence-level direct sensory evidence</x:v>
      </x:c>
    </x:row>
    <x:row r="11" ht="38" hidden="0" customHeight="1">
      <x:c r="A11" s="43" t="str">
        <x:v>Removed conflicting sequence</x:v>
      </x:c>
      <x:c r="B11" s="50" t="n">
        <x:v>1</x:v>
      </x:c>
      <x:c r="C11" s="43" t="str">
        <x:v>RV excluded from both classes</x:v>
      </x:c>
    </x:row>
    <x:row r="12" ht="38" hidden="0" customHeight="1">
      <x:c r="A12" s="43" t="str">
        <x:v>Repeated sequence merged across concordant sources</x:v>
      </x:c>
      <x:c r="B12" s="50" t="n">
        <x:v>1</x:v>
      </x:c>
      <x:c r="C12" s="43" t="str">
        <x:v>DGFE retained once with two references</x:v>
      </x:c>
    </x:row>
    <x:row r="13" ht="28" hidden="0" customHeight="1">
      <x:c r="A13" s="43" t="str">
        <x:v>S1 direct sensory evidence</x:v>
      </x:c>
      <x:c r="B13" s="50" t="n">
        <x:v>138</x:v>
      </x:c>
      <x:c r="C13" s="43" t="str">
        <x:v>Strongest positive evidence stratum</x:v>
      </x:c>
    </x:row>
    <x:row r="14" ht="28" hidden="0" customHeight="1">
      <x:c r="A14" s="43" t="str">
        <x:v>S1 literature secondary evidence</x:v>
      </x:c>
      <x:c r="B14" s="50" t="n">
        <x:v>69</x:v>
      </x:c>
      <x:c r="C14" s="43" t="str">
        <x:v>Intermediate positive evidence stratum</x:v>
      </x:c>
    </x:row>
    <x:row r="15" ht="28" hidden="0" customHeight="1">
      <x:c r="A15" s="43" t="str">
        <x:v>S1 database/compilation annotation</x:v>
      </x:c>
      <x:c r="B15" s="50" t="n">
        <x:v>73</x:v>
      </x:c>
      <x:c r="C15" s="43" t="str">
        <x:v>Weaker positive evidence stratum</x:v>
      </x:c>
    </x:row>
    <x:row r="16" ht="28" hidden="0" customHeight="1">
      <x:c r="A16" s="43" t="str">
        <x:v>S2 A1 evidence</x:v>
      </x:c>
      <x:c r="B16" s="50" t="n">
        <x:v>6</x:v>
      </x:c>
      <x:c r="C16" s="43" t="str">
        <x:v>Human sensory negatives</x:v>
      </x:c>
    </x:row>
    <x:row r="17" ht="28" hidden="0" customHeight="1">
      <x:c r="A17" s="43" t="str">
        <x:v>S2 A2 evidence</x:v>
      </x:c>
      <x:c r="B17" s="50" t="n">
        <x:v>4</x:v>
      </x:c>
      <x:c r="C17" s="43" t="str">
        <x:v>Electronic-tongue negatives</x:v>
      </x:c>
    </x:row>
    <x:row r="18" ht="28" hidden="0" customHeight="1">
      <x:c r="A18" s="43" t="str">
        <x:v>S2 B1 evidence</x:v>
      </x:c>
      <x:c r="B18" s="50" t="n">
        <x:v>107</x:v>
      </x:c>
      <x:c r="C18" s="43" t="str">
        <x:v>Same-study non-salty classification</x:v>
      </x:c>
    </x:row>
    <x:row r="19" ht="40" hidden="0" customHeight="1">
      <x:c r="A19" s="43" t="str">
        <x:v>S2 D evidence</x:v>
      </x:c>
      <x:c r="B19" s="50" t="n">
        <x:v>183</x:v>
      </x:c>
      <x:c r="C19" s="43" t="str">
        <x:v>Database non-salty annotations; stratify in sensitivity analysis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2e724390c2b04f1c"/>
  </x:tableParts>
</x:worksheet>
</file>